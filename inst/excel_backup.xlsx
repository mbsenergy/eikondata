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G13879\Documents\GitHub\eikonapir\inst\"/>
    </mc:Choice>
  </mc:AlternateContent>
  <xr:revisionPtr revIDLastSave="0" documentId="8_{7604A618-CFD4-4E39-91C7-4BCD42C30E74}" xr6:coauthVersionLast="47" xr6:coauthVersionMax="47" xr10:uidLastSave="{00000000-0000-0000-0000-000000000000}"/>
  <bookViews>
    <workbookView xWindow="-108" yWindow="-108" windowWidth="23256" windowHeight="13896" tabRatio="904" firstSheet="1" activeTab="4" xr2:uid="{00000000-000D-0000-FFFF-FFFF00000000}"/>
  </bookViews>
  <sheets>
    <sheet name="Logs" sheetId="12" state="hidden" r:id="rId1"/>
    <sheet name="Instructions" sheetId="6" r:id="rId2"/>
    <sheet name="Single Instrument" sheetId="1" r:id="rId3"/>
    <sheet name="Multiple Instruments" sheetId="2" r:id="rId4"/>
    <sheet name="List of Fields by Asset Class" sheetId="10" r:id="rId5"/>
    <sheet name="Sheet7" sheetId="11" state="hidden" r:id="rId6"/>
  </sheets>
  <definedNames>
    <definedName name="HEADERCELL">#REF!</definedName>
    <definedName name="LOGRANGE">#REF!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10" i="2" l="1"/>
  <c r="G7" i="2"/>
  <c r="G10" i="1"/>
  <c r="D13" i="2"/>
  <c r="C16" i="1"/>
</calcChain>
</file>

<file path=xl/sharedStrings.xml><?xml version="1.0" encoding="utf-8"?>
<sst xmlns="http://schemas.openxmlformats.org/spreadsheetml/2006/main" count="10483" uniqueCount="2360">
  <si>
    <t>Instrument</t>
  </si>
  <si>
    <t>Sdate</t>
  </si>
  <si>
    <t>Edate</t>
  </si>
  <si>
    <t>Data Items</t>
  </si>
  <si>
    <t>Frequency</t>
  </si>
  <si>
    <t>Currency</t>
  </si>
  <si>
    <t>Null Handling</t>
  </si>
  <si>
    <t>Adjusted Split Shares</t>
  </si>
  <si>
    <t>0d</t>
  </si>
  <si>
    <t>USD</t>
  </si>
  <si>
    <t>Previous</t>
  </si>
  <si>
    <t>Frequencies</t>
  </si>
  <si>
    <t>Currencies</t>
  </si>
  <si>
    <t>CAD</t>
  </si>
  <si>
    <t>Adjustments</t>
  </si>
  <si>
    <t>Yes</t>
  </si>
  <si>
    <t>No</t>
  </si>
  <si>
    <t>JPY</t>
  </si>
  <si>
    <t>EUR</t>
  </si>
  <si>
    <t>NA</t>
  </si>
  <si>
    <t>Data Item</t>
  </si>
  <si>
    <t>AY</t>
  </si>
  <si>
    <t>AQ</t>
  </si>
  <si>
    <t>AM</t>
  </si>
  <si>
    <t>AW</t>
  </si>
  <si>
    <t>Actual Year (AY)</t>
  </si>
  <si>
    <t>Actual Quarter (AQ)</t>
  </si>
  <si>
    <t>Actual Month (AM)</t>
  </si>
  <si>
    <t>Actual Week (AW)</t>
  </si>
  <si>
    <t>Yearly (Y)</t>
  </si>
  <si>
    <t>Quarterly (Q)</t>
  </si>
  <si>
    <t>Monthly (M)</t>
  </si>
  <si>
    <t>Weekly (W)</t>
  </si>
  <si>
    <t>Calendar Year (CY)</t>
  </si>
  <si>
    <t>Calendar Quarter (CQ)</t>
  </si>
  <si>
    <t>Calendar Month (CM)</t>
  </si>
  <si>
    <t>Calendar Week (CW)</t>
  </si>
  <si>
    <t>Y</t>
  </si>
  <si>
    <t>Q</t>
  </si>
  <si>
    <t>M</t>
  </si>
  <si>
    <t>W</t>
  </si>
  <si>
    <t>D</t>
  </si>
  <si>
    <t>CY</t>
  </si>
  <si>
    <t>CQ</t>
  </si>
  <si>
    <t>CM</t>
  </si>
  <si>
    <t>CW</t>
  </si>
  <si>
    <t>C</t>
  </si>
  <si>
    <t>BLANK</t>
  </si>
  <si>
    <t>NEXT</t>
  </si>
  <si>
    <t>PREVIOUS</t>
  </si>
  <si>
    <t>Trading Days (D)</t>
  </si>
  <si>
    <t>Calendar Day ('C)</t>
  </si>
  <si>
    <t>Inputs Needed / Instructions:</t>
  </si>
  <si>
    <t>Blank</t>
  </si>
  <si>
    <t>Next</t>
  </si>
  <si>
    <t>Single Instrument worksheet</t>
  </si>
  <si>
    <t>Multiple Instruments worksheet</t>
  </si>
  <si>
    <t>#N/A</t>
  </si>
  <si>
    <t>TR.HighPrice</t>
  </si>
  <si>
    <t>TR.LowPrice</t>
  </si>
  <si>
    <t>High Price</t>
  </si>
  <si>
    <t>Low Price</t>
  </si>
  <si>
    <t>TR.OpenPrice</t>
  </si>
  <si>
    <t>TR.ACCUMULATEDVOLUME</t>
  </si>
  <si>
    <t>TR.AskPrice</t>
  </si>
  <si>
    <t>TR.ClosePrice</t>
  </si>
  <si>
    <t>TR.BidPrice</t>
  </si>
  <si>
    <t>Close Price</t>
  </si>
  <si>
    <t>Open Price</t>
  </si>
  <si>
    <t>Accumulated Volume</t>
  </si>
  <si>
    <t>Ask Price</t>
  </si>
  <si>
    <t>High Ask Price</t>
  </si>
  <si>
    <t>TR.AccumulatedVolume</t>
  </si>
  <si>
    <t>Bid Price</t>
  </si>
  <si>
    <t>-1CW</t>
  </si>
  <si>
    <t>Asset Class</t>
  </si>
  <si>
    <t>Field Label</t>
  </si>
  <si>
    <t>Fid</t>
  </si>
  <si>
    <t>ADC Code</t>
  </si>
  <si>
    <t>Description</t>
  </si>
  <si>
    <t>Equities</t>
  </si>
  <si>
    <t>Commodities Swaps</t>
  </si>
  <si>
    <t>Commodity Precious Metals Spot</t>
  </si>
  <si>
    <t>Credit Default Swap Index Tranche</t>
  </si>
  <si>
    <t>Credit Default Swap Indices</t>
  </si>
  <si>
    <t>Credit Default Swap Single Company</t>
  </si>
  <si>
    <t>Exchange Traded Fund</t>
  </si>
  <si>
    <t>Financial Indices</t>
  </si>
  <si>
    <t>Fixed Income Bonds - Convertible</t>
  </si>
  <si>
    <t>Fixed Income Bonds - Floating Rate Note</t>
  </si>
  <si>
    <t>Fixed Income Bonds Indices</t>
  </si>
  <si>
    <t>Fixed Income Central Registration Depository</t>
  </si>
  <si>
    <t>Fixed Income Loans</t>
  </si>
  <si>
    <t>Fixed Income Straight Bonds</t>
  </si>
  <si>
    <t>Fixed Income Yield Curve Derived</t>
  </si>
  <si>
    <t>Foreign Exchange Baskets</t>
  </si>
  <si>
    <t>Foreign Exchange Fixings</t>
  </si>
  <si>
    <t>Foreign Exchange Forward and Non-Deliverable Forward</t>
  </si>
  <si>
    <t>Foreign Exchange Option Volatility</t>
  </si>
  <si>
    <t>Foreign Exchange Spot Cross</t>
  </si>
  <si>
    <t>Futures</t>
  </si>
  <si>
    <t>Money Market and Foreign Exchange Financial Indices</t>
  </si>
  <si>
    <t>Money Market Deposit and Short Term Paper including Tradeweb</t>
  </si>
  <si>
    <t>Money Market Interest Rate Swaps</t>
  </si>
  <si>
    <t>Money Market Repurchase Agreement</t>
  </si>
  <si>
    <t>Money Market Yield Curve Derived</t>
  </si>
  <si>
    <t>Money Market_Fixings - Swap, Forward Rate Agreement, Deposit, Repurchase Agreement, Interest Rate</t>
  </si>
  <si>
    <t>Multi-Statistics</t>
  </si>
  <si>
    <t>Open Fund Units</t>
  </si>
  <si>
    <t>Options</t>
  </si>
  <si>
    <t>Poll Consensus</t>
  </si>
  <si>
    <t>Poll Contributor</t>
  </si>
  <si>
    <t>Single-Statistics</t>
  </si>
  <si>
    <t>Spreads</t>
  </si>
  <si>
    <t>Warrants</t>
  </si>
  <si>
    <t>Asset Class Code</t>
  </si>
  <si>
    <t>TRDPRC_1</t>
  </si>
  <si>
    <t>TR.CLOSEPRICE</t>
  </si>
  <si>
    <t>Last trade price or value.</t>
  </si>
  <si>
    <t>ACVOL_UNS</t>
  </si>
  <si>
    <t>Unscaled accumulated number of shares, lots or contracts traded according to the market convention</t>
  </si>
  <si>
    <t>OFFBK_VOL</t>
  </si>
  <si>
    <t>Accumulated Off Book Volume</t>
  </si>
  <si>
    <t>TR.ACCUMULATEDOFFBOOKVOLUME</t>
  </si>
  <si>
    <t>Accumulated off-book volume</t>
  </si>
  <si>
    <t>BLKVOLUM</t>
  </si>
  <si>
    <t>Block Trade Volume</t>
  </si>
  <si>
    <t>TR.BLOCKTRADEVOLUME</t>
  </si>
  <si>
    <t>Today's total block trading volume.Updated whenever a trade occurs over a pre-defined, market-specific, number of shares occurs.</t>
  </si>
  <si>
    <t>BID</t>
  </si>
  <si>
    <t>TR.BIDPRICE</t>
  </si>
  <si>
    <t>Latest Bid Price (price willing to buy)</t>
  </si>
  <si>
    <t>ASK</t>
  </si>
  <si>
    <t>TR.ASKPRICE</t>
  </si>
  <si>
    <t>Latest Ask Price (price offering to sell)</t>
  </si>
  <si>
    <t>MID_PRICE</t>
  </si>
  <si>
    <t>Mid Price</t>
  </si>
  <si>
    <t>TR.MIDPRICE</t>
  </si>
  <si>
    <t>The mid-price between the bid and ask prices.</t>
  </si>
  <si>
    <t>VWAP</t>
  </si>
  <si>
    <t>TR.TSVWAP</t>
  </si>
  <si>
    <t>Volume Weighted Average Price.</t>
  </si>
  <si>
    <t>UPLIMIT</t>
  </si>
  <si>
    <t>Upper Trading Limit</t>
  </si>
  <si>
    <t>TR.UPPERTRADINGLIMIT</t>
  </si>
  <si>
    <t>Upper trading limit for today's trading.</t>
  </si>
  <si>
    <t>LOLIMIT</t>
  </si>
  <si>
    <t>Lower Trading Limit</t>
  </si>
  <si>
    <t>TR.LOWERTRADINGLIMIT</t>
  </si>
  <si>
    <t>Lower trading limit for today's trading.</t>
  </si>
  <si>
    <t>YIELD</t>
  </si>
  <si>
    <t>Yield</t>
  </si>
  <si>
    <t>TR.YIELD</t>
  </si>
  <si>
    <t>For equities the dividend per share expressed as a percentage of the price. For bonds this is the current or simple yield i.e. the interest expressed as a percentage of the price.</t>
  </si>
  <si>
    <t>ORDBK_VWAP</t>
  </si>
  <si>
    <t>Orderbook VWAP</t>
  </si>
  <si>
    <t>TR.ORDERBOOKVWAP</t>
  </si>
  <si>
    <t>Orderbook (on mkt) VWAP</t>
  </si>
  <si>
    <t>IND_AUC</t>
  </si>
  <si>
    <t>Indicative Auction Price</t>
  </si>
  <si>
    <t>TR.INDICATIVEAUCTIONPRICE</t>
  </si>
  <si>
    <t>IND_AUCVOL</t>
  </si>
  <si>
    <t>Indicative Auction Volume</t>
  </si>
  <si>
    <t>TR.INDICATIVEAUCTIONVOLUME</t>
  </si>
  <si>
    <t>HIGH_1</t>
  </si>
  <si>
    <t>TR.HIGHPRICE</t>
  </si>
  <si>
    <t>Today's highest transaction value.</t>
  </si>
  <si>
    <t>LOW_1</t>
  </si>
  <si>
    <t>TR.LOWPRICE</t>
  </si>
  <si>
    <t>Today's lowest transaction value.</t>
  </si>
  <si>
    <t>OPEN_PRC</t>
  </si>
  <si>
    <t>TR.OPENPRICE</t>
  </si>
  <si>
    <t>Today's opening price or value. The source of this field depends upon the market and instrument type.</t>
  </si>
  <si>
    <t>TRNOVR_UNS</t>
  </si>
  <si>
    <t>Turnover</t>
  </si>
  <si>
    <t>TR.TURNOVER</t>
  </si>
  <si>
    <t>The unscaled turnover value (summation of the value of all trades during the market day) for a particular instrument.</t>
  </si>
  <si>
    <t>OFF_CLOSE</t>
  </si>
  <si>
    <t>Official Close Price</t>
  </si>
  <si>
    <t>TR.OFFICIALCLOSEPRICE</t>
  </si>
  <si>
    <t>The official closing price for this market.  Price may be qualified by CLOSE_TONE</t>
  </si>
  <si>
    <t>NUM_MOVES</t>
  </si>
  <si>
    <t>Number of Trades</t>
  </si>
  <si>
    <t>TR.NUMBEROFTRADES</t>
  </si>
  <si>
    <t>Number of trades today. For indices the number of times the index has been calculated.</t>
  </si>
  <si>
    <t>REF_PRICE</t>
  </si>
  <si>
    <t>Reference Price</t>
  </si>
  <si>
    <t>TR.REFERENCEPRICE</t>
  </si>
  <si>
    <t>Reference Price qualified by REF_PRC_TP</t>
  </si>
  <si>
    <t>EX_VOL_UNS</t>
  </si>
  <si>
    <t>Accumulated Source Reported Volume</t>
  </si>
  <si>
    <t>TR.ACCUMULATEDSOURCEREPORTEDVOLUME</t>
  </si>
  <si>
    <t xml:space="preserve">Un-scaled accumulated volume reported by the exchange/source.   Includes more trade types than last eligible. </t>
  </si>
  <si>
    <t>SETTLE</t>
  </si>
  <si>
    <t>Settlement Price</t>
  </si>
  <si>
    <t>TR.SETTLEMENTPRICE</t>
  </si>
  <si>
    <t>Settlement price. The official closing price of a futures or option contract set by the clearing house at the end of the trading day.</t>
  </si>
  <si>
    <t>BASE_PRC1</t>
  </si>
  <si>
    <t>Base Price</t>
  </si>
  <si>
    <t>TR.BASEPRICE</t>
  </si>
  <si>
    <t>Today's base price</t>
  </si>
  <si>
    <t>ELG_ACVOL</t>
  </si>
  <si>
    <t>Accumulated Eligible Trade Volume</t>
  </si>
  <si>
    <t>TR.ACCUMULATEDELIGIBLETRADEVOLUME</t>
  </si>
  <si>
    <t>MKT_LOW</t>
  </si>
  <si>
    <t>Market Low Price</t>
  </si>
  <si>
    <t>TR.MARKETLOWPRICE</t>
  </si>
  <si>
    <t>Market Low Price: Lowest trade price which includes off-book as well as on-book trades.</t>
  </si>
  <si>
    <t>MKT_HIGH</t>
  </si>
  <si>
    <t>Market High Price</t>
  </si>
  <si>
    <t>TR.MARKETHIGHPRICE</t>
  </si>
  <si>
    <t>Market High Price: High trade price which includes off-book as well as on-book trades.</t>
  </si>
  <si>
    <t>ACVOL_AFT</t>
  </si>
  <si>
    <t>After Hour Accummulated Volume</t>
  </si>
  <si>
    <t>TR.AFTERHOURACCUMMULATEDVOLUME</t>
  </si>
  <si>
    <t xml:space="preserve">Accumulated Volume of After-hour </t>
  </si>
  <si>
    <t>TURN_AFT</t>
  </si>
  <si>
    <t>After Hour Turnover</t>
  </si>
  <si>
    <t>TR.AFTERHOURTURNOVER</t>
  </si>
  <si>
    <t>Turnover of Pre-Open  and After-hour Markets</t>
  </si>
  <si>
    <t>AMT_OS_UNS</t>
  </si>
  <si>
    <t>Total Number of Shares Outstanding</t>
  </si>
  <si>
    <t>TR.TOTALNUMBEROFSHARESOUTSTANDING</t>
  </si>
  <si>
    <t>The unscaled value for the total number of shares outstanding.</t>
  </si>
  <si>
    <t>PERATIO</t>
  </si>
  <si>
    <t>Price Earning Ratio</t>
  </si>
  <si>
    <t>TR.PRICEEARNINGRATIO</t>
  </si>
  <si>
    <t>Ratio of stock price to earnings per share.</t>
  </si>
  <si>
    <t>INT_AUC</t>
  </si>
  <si>
    <t>Intraday Auction Price</t>
  </si>
  <si>
    <t>TR.INTRADAYAUCTIONPRICE</t>
  </si>
  <si>
    <t>VWAP_VOL</t>
  </si>
  <si>
    <t>VWAP Volume</t>
  </si>
  <si>
    <t>TR.VWAPVOLUME</t>
  </si>
  <si>
    <t>Volume for calculation of Volume Weighted Average Price</t>
  </si>
  <si>
    <t>MKTVAL_UNS</t>
  </si>
  <si>
    <t>Market Capitalisation</t>
  </si>
  <si>
    <t>TR.MARKETCAPITALISATION</t>
  </si>
  <si>
    <t>The un-scaled value of "Units of securities issued x Last Price". For equity, this is the un-scaled Market Capitalization.</t>
  </si>
  <si>
    <t>BLKCOUNT</t>
  </si>
  <si>
    <t>Number of Block Trades</t>
  </si>
  <si>
    <t>TR.NUMBEROFBLOCKTRADES</t>
  </si>
  <si>
    <t>Number of block trades today.</t>
  </si>
  <si>
    <t>SESSION1HI</t>
  </si>
  <si>
    <t>First Session High Price</t>
  </si>
  <si>
    <t>TR.FIRSTSESSIONHIGHPRICE</t>
  </si>
  <si>
    <t>First session high price.</t>
  </si>
  <si>
    <t>SESSION1LO</t>
  </si>
  <si>
    <t>First Session Low Price</t>
  </si>
  <si>
    <t>TR.FIRSTSESSIONLOWPRICE</t>
  </si>
  <si>
    <t>First session low price.</t>
  </si>
  <si>
    <t>SESSION2HI</t>
  </si>
  <si>
    <t>Second Session High Price</t>
  </si>
  <si>
    <t>TR.SECONDSESSIONHIGHPRICE</t>
  </si>
  <si>
    <t>Second session high price.</t>
  </si>
  <si>
    <t>SESSION2LO</t>
  </si>
  <si>
    <t>Second Session Low Price</t>
  </si>
  <si>
    <t>TR.SECONDSESSIONLOWPRICE</t>
  </si>
  <si>
    <t>Second session low price.</t>
  </si>
  <si>
    <t>SESS1_CLS</t>
  </si>
  <si>
    <t>First Session Close Price</t>
  </si>
  <si>
    <t>TR.FIRSTSESSIONCLOSEPRICE</t>
  </si>
  <si>
    <t xml:space="preserve">The closing value of the first session </t>
  </si>
  <si>
    <t>SESS2_OPEN</t>
  </si>
  <si>
    <t>Second Session Open Price</t>
  </si>
  <si>
    <t>TR.SECONDSESSIONOPENPRICE</t>
  </si>
  <si>
    <t xml:space="preserve">The opening value for the second session. </t>
  </si>
  <si>
    <t>OPN_AUC</t>
  </si>
  <si>
    <t>Opening Auction Price</t>
  </si>
  <si>
    <t>TR.OPENINGAUCTIONPRICE</t>
  </si>
  <si>
    <t>CLS_AUC</t>
  </si>
  <si>
    <t>Closing Auction Price</t>
  </si>
  <si>
    <t>TR.CLOSINGAUCTIONPRICE</t>
  </si>
  <si>
    <t>OPN_AUCVOL</t>
  </si>
  <si>
    <t>Opening Auction Volume</t>
  </si>
  <si>
    <t>TR.OPENINGAUCTIONVOLUME</t>
  </si>
  <si>
    <t>CLS_AUCVOL</t>
  </si>
  <si>
    <t>Closing Auction Volume</t>
  </si>
  <si>
    <t>TR.CLOSINGAUCTIONVOLUME</t>
  </si>
  <si>
    <t>ORDBK_TRD</t>
  </si>
  <si>
    <t>Orderbook Close Price</t>
  </si>
  <si>
    <t>TR.ORDERBOOKCLOSEPRICE</t>
  </si>
  <si>
    <t>Orderbook (on market) trades</t>
  </si>
  <si>
    <t>LTNOV_UNS</t>
  </si>
  <si>
    <t>Last Trade Turnover</t>
  </si>
  <si>
    <t>TR.LASTTRADETURNOVER</t>
  </si>
  <si>
    <t>Value of the latest unscaled single trade turnover (TRDVOL_1 x TRDPRC_1)</t>
  </si>
  <si>
    <t>ODD_VOLUME</t>
  </si>
  <si>
    <t>Accumulated Odd Lot Trade Volume</t>
  </si>
  <si>
    <t>TR.ACCUMULATEDODDLOTTRADEVOLUME</t>
  </si>
  <si>
    <t>The volume of odd lot trade deals done so far.</t>
  </si>
  <si>
    <t>LST_TRD_PR</t>
  </si>
  <si>
    <t>Normal Trading Close Price</t>
  </si>
  <si>
    <t>TR.NORMALTRADINGCLOSEPRICE</t>
  </si>
  <si>
    <t>The final trade of a normal trading market period if there is an end of day auction period or other post market trading period.  Also known as the clean last trade of continous trading.</t>
  </si>
  <si>
    <t>SHORT_TURN</t>
  </si>
  <si>
    <t>Shortsell Turnover</t>
  </si>
  <si>
    <t>TR.SHORTSELLTURNOVER</t>
  </si>
  <si>
    <t>Shortsell turnover</t>
  </si>
  <si>
    <t>SHORT_VOL</t>
  </si>
  <si>
    <t>Accumulated Shortsell Trade Volume</t>
  </si>
  <si>
    <t>TR.ACCUMULATEDSHORTSELLTRADEVOLUME</t>
  </si>
  <si>
    <t>Total volume of short sell trades for a particular trading day.</t>
  </si>
  <si>
    <t>FRGN_ILMT</t>
  </si>
  <si>
    <t>Foreign Ownership Issue Limit Percentage</t>
  </si>
  <si>
    <t>TR.FOREIGNOWNERSHIPISSUELIMITPERCENTAGE</t>
  </si>
  <si>
    <t>The maximum percentage of total shares outstanding foreign investors can collectively hold (issue limit percentage).</t>
  </si>
  <si>
    <t>FRGN_OWN</t>
  </si>
  <si>
    <t>Number of Shares Owned by Foreign Investors</t>
  </si>
  <si>
    <t>TR.NUMBEROFSHARESOWNEDBYFOREIGNINVESTORS</t>
  </si>
  <si>
    <t>Number of shares currently owned by foreign investors.</t>
  </si>
  <si>
    <t>FRGN_PLMT</t>
  </si>
  <si>
    <t>Foreign Ownership Personal Limit Percentage</t>
  </si>
  <si>
    <t>TR.FOREIGNOWNERSHIPPERSONALLIMITPERCENTAGE</t>
  </si>
  <si>
    <t>The maximum percentage of total shares outstanding a single foreign investor can individually (personally) hold (personal limit percentage).</t>
  </si>
  <si>
    <t>ODD_PRC</t>
  </si>
  <si>
    <t>Odd Lot Board Close Price</t>
  </si>
  <si>
    <t>TR.ODDLOTBOARDCLOSEPRICE</t>
  </si>
  <si>
    <t>The latest price from odd lot board</t>
  </si>
  <si>
    <t>FRGN_BVOL</t>
  </si>
  <si>
    <t>Foreigners Buy Volume</t>
  </si>
  <si>
    <t>TR.FOREIGNERSBUYVOLUME</t>
  </si>
  <si>
    <t>The foreigners buy volume.</t>
  </si>
  <si>
    <t>DLR_BUYVOL</t>
  </si>
  <si>
    <t>Dealers Trading Buy Volume</t>
  </si>
  <si>
    <t>TR.DEALERSTRADINGBUYVOLUME</t>
  </si>
  <si>
    <t>Buy volume of Dealers Trading</t>
  </si>
  <si>
    <t>DLR_SELVOL</t>
  </si>
  <si>
    <t>Dealers Trading Sell Volume</t>
  </si>
  <si>
    <t>TR.DEALERSTRADINGSELLVOLUME</t>
  </si>
  <si>
    <t>Sell volume of Dealers Trading</t>
  </si>
  <si>
    <t>FRNHLD_RTO</t>
  </si>
  <si>
    <t>Foreign to Domestic Holding Ratio</t>
  </si>
  <si>
    <t>TR.FOREIGNTODOMESTICHOLDINGRATIO</t>
  </si>
  <si>
    <t>Ratio of Foreign to Domestic Holding</t>
  </si>
  <si>
    <t>FRNHLD_NET</t>
  </si>
  <si>
    <t>Foreigner Net Hold Volume</t>
  </si>
  <si>
    <t>TR.FOREIGNERNETHOLDVOLUME</t>
  </si>
  <si>
    <t>FRNREM_RTO</t>
  </si>
  <si>
    <t>Foreigner Remain Invest Ratio</t>
  </si>
  <si>
    <t>TR.FOREIGNERREMAININVESTRATIO</t>
  </si>
  <si>
    <t>Ratio of  foreign to domestic investment that remains for foreign investment</t>
  </si>
  <si>
    <t>ODD_TURN</t>
  </si>
  <si>
    <t>Odd Lot Trade Turnover</t>
  </si>
  <si>
    <t>TR.ODDLOTTRADETURNOVER</t>
  </si>
  <si>
    <t>Odd Lot Trade Turnover.</t>
  </si>
  <si>
    <t>REPORT_VOL</t>
  </si>
  <si>
    <t>All Reported Trades Aggregate Volume</t>
  </si>
  <si>
    <t>TR.ALLREPORTEDTRADESAGGREGATEVOLUME</t>
  </si>
  <si>
    <t>Aggregate volume of all trades reported today including those that have occurred prior to today. For multiple currency markets this, should always be reported trades in the primary currency.</t>
  </si>
  <si>
    <t>TRD_STATUS</t>
  </si>
  <si>
    <t>Instrument Trading Status</t>
  </si>
  <si>
    <t>TR.INSTRUMENTTRADINGSTATUS</t>
  </si>
  <si>
    <t>Instrument Trading Status, which include trade halts or suspensions.</t>
  </si>
  <si>
    <t>OFFBK_TNOV</t>
  </si>
  <si>
    <t>Off Book Turnover</t>
  </si>
  <si>
    <t>TR.OFFBOOKTURNOVER</t>
  </si>
  <si>
    <t>Total off book turnover</t>
  </si>
  <si>
    <t>ALT_CLOSE</t>
  </si>
  <si>
    <t>Alternate Close Price</t>
  </si>
  <si>
    <t>TR.ALTERNATECLOSEPRICE</t>
  </si>
  <si>
    <t>Used to denote a secondary close price for a particular instrument.</t>
  </si>
  <si>
    <t>REF_PRC_2</t>
  </si>
  <si>
    <t>Secondary Reference Price</t>
  </si>
  <si>
    <t>TR.SECONDARYREFERENCEPRICE</t>
  </si>
  <si>
    <t>Secondary Reference Price qualified by REFPRC_TP2</t>
  </si>
  <si>
    <t>REF_PRC_3</t>
  </si>
  <si>
    <t>Third Reference Price</t>
  </si>
  <si>
    <t>TR.THIRDREFERENCEPRICE</t>
  </si>
  <si>
    <t>Third Reference Price qualified by REFPRC_TP3</t>
  </si>
  <si>
    <t>EARNINGS</t>
  </si>
  <si>
    <t>Earnings Per Share</t>
  </si>
  <si>
    <t>TR.EARNINGSPERSHARE</t>
  </si>
  <si>
    <t>Latest reported earnings per share.</t>
  </si>
  <si>
    <t>SESS1_VOL</t>
  </si>
  <si>
    <t>First Session Volume</t>
  </si>
  <si>
    <t>TR.FIRSTSESSIONVOLUME</t>
  </si>
  <si>
    <t>Volumes for the first to seventh trading sessions respectively.</t>
  </si>
  <si>
    <t>SESS2_VOL</t>
  </si>
  <si>
    <t>Second Session Volume</t>
  </si>
  <si>
    <t>TR.SECONDSESSIONVOLUME</t>
  </si>
  <si>
    <t>SESS1_OPEN</t>
  </si>
  <si>
    <t>First Session Open Price</t>
  </si>
  <si>
    <t>TR.FIRSTSESSIONOPENPRICE</t>
  </si>
  <si>
    <t>The opening value for the  first session.</t>
  </si>
  <si>
    <t>BUYMARGIN</t>
  </si>
  <si>
    <t>Margin Buy Position</t>
  </si>
  <si>
    <t>TR.MARGINBUYPOSITION</t>
  </si>
  <si>
    <t>The margin buy position</t>
  </si>
  <si>
    <t>BUYMAR_NC</t>
  </si>
  <si>
    <t>Margin Buy Net Change</t>
  </si>
  <si>
    <t>TR.MARGINBUYNETCHANGE</t>
  </si>
  <si>
    <t>The net change of the current buy margin from the previous.</t>
  </si>
  <si>
    <t>SELLMARGIN</t>
  </si>
  <si>
    <t>Margin Sell Position</t>
  </si>
  <si>
    <t>TR.MARGINSELLPOSITION</t>
  </si>
  <si>
    <t xml:space="preserve">The margin sell position </t>
  </si>
  <si>
    <t>MARGIN_RTO</t>
  </si>
  <si>
    <t>Margin Buy to Margin Sell Ratio</t>
  </si>
  <si>
    <t>TR.MARGINBUYTOMARGINSELLRATIO</t>
  </si>
  <si>
    <t>The buy margin position divided by the sell margin position.</t>
  </si>
  <si>
    <t>SHTSLRTO</t>
  </si>
  <si>
    <t>Short Sale Ratio</t>
  </si>
  <si>
    <t>TR.SHORTSALERATIO</t>
  </si>
  <si>
    <t>Short Sale Ratio.</t>
  </si>
  <si>
    <t>MA5</t>
  </si>
  <si>
    <t>5 Days Moving Average</t>
  </si>
  <si>
    <t>TR.5DAYSMOVINGAVERAGE</t>
  </si>
  <si>
    <t>Moving average of the n last working days indicator values</t>
  </si>
  <si>
    <t>SESS_VWAP1</t>
  </si>
  <si>
    <t>First Session VWAP</t>
  </si>
  <si>
    <t>TR.FIRSTSESSIONVWAP</t>
  </si>
  <si>
    <t>Session VWAP for single issue trade</t>
  </si>
  <si>
    <t>SESS_VWAP2</t>
  </si>
  <si>
    <t>Second Session VWAP</t>
  </si>
  <si>
    <t>TR.SECONDSESSIONVWAP</t>
  </si>
  <si>
    <t>Session VWAP for fixed trade</t>
  </si>
  <si>
    <t>SHORT_LMT</t>
  </si>
  <si>
    <t>Shortsell Limit</t>
  </si>
  <si>
    <t>TR.SHORTSELLLIMIT</t>
  </si>
  <si>
    <t>Shortsell limit</t>
  </si>
  <si>
    <t>SALTIM_MS</t>
  </si>
  <si>
    <t>Last Trade Time in Milliseconds</t>
  </si>
  <si>
    <t>TR.LASTTRADETIMEINMILLISECONDS</t>
  </si>
  <si>
    <t>Time of the last trade with precision in milliseconds - the time of the last update to the field TRDPRC_1 (FID 6).</t>
  </si>
  <si>
    <t>BLK_PRC1</t>
  </si>
  <si>
    <t>Block Price</t>
  </si>
  <si>
    <t>TR.BLOCKPRICE</t>
  </si>
  <si>
    <t>Block price or big lot size price.</t>
  </si>
  <si>
    <t>INT_AUCVOL</t>
  </si>
  <si>
    <t>Intraday Auction Volume</t>
  </si>
  <si>
    <t>TR.INTRADAYAUCTIONVOLUME</t>
  </si>
  <si>
    <t>MKT_OPEN</t>
  </si>
  <si>
    <t>Market Open Price</t>
  </si>
  <si>
    <t>TR.MARKETOPENPRICE</t>
  </si>
  <si>
    <t>Market Open Price: Open price including off order book and on book trades.</t>
  </si>
  <si>
    <t>FR_LMSHAR</t>
  </si>
  <si>
    <t>Maximum Shares Amount Available to Foreign Investors</t>
  </si>
  <si>
    <t>TR.MAXIMUMSHARESAMOUNTAVAILABLETOFOREIGNINVESTORS</t>
  </si>
  <si>
    <t>Total amount of shares available to foreign investors (maximum amount of shares foreign investors can own).</t>
  </si>
  <si>
    <t>FRGN_ORDER</t>
  </si>
  <si>
    <t>Remaining Shares Quantity Available to Foreign Investors</t>
  </si>
  <si>
    <t>TR.REMAININGSHARESQUANTITYAVAILABLETOFOREIGNINVESTORS</t>
  </si>
  <si>
    <t>Remaining Quantity of shares currently available to foreign investors. Calculated by FR_LMSHAR E3952 - FRGN_OWN #3955.</t>
  </si>
  <si>
    <t>TOT_VALUE</t>
  </si>
  <si>
    <t>Total Market Turnover</t>
  </si>
  <si>
    <t>TR.TOTALMARKETTURNOVER</t>
  </si>
  <si>
    <t>Today's total market turnover, which includes all types of trades for a particular exchange, such as trades from main and foreign, odd and big lot boards; order book and off-order book trades.</t>
  </si>
  <si>
    <t>ACVL_BASKT</t>
  </si>
  <si>
    <t>Accumulated Volume of Basket Trading</t>
  </si>
  <si>
    <t>TR.ACCUMULATEDVOLUMEOFBASKETTRADING</t>
  </si>
  <si>
    <t>Accumulated Volume of Block and Basket trading</t>
  </si>
  <si>
    <t>AV_AFT_BLK</t>
  </si>
  <si>
    <t>Accumulated Volume of After Hour Block Trading</t>
  </si>
  <si>
    <t>TR.ACCUMULATEDVOLUMEOFAFTERHOURBLOCKTRADING</t>
  </si>
  <si>
    <t>Accumulated Volume of Block and Basket trading during after-hour market.</t>
  </si>
  <si>
    <t>AV_AFT_BSK</t>
  </si>
  <si>
    <t>Accumulated Volume of After Hour Basket Trading</t>
  </si>
  <si>
    <t>TR.ACCUMULATEDVOLUMEOFAFTERHOURBASKETTRADING</t>
  </si>
  <si>
    <t>AV_PRE_BLK</t>
  </si>
  <si>
    <t>Accumulated Volume of Pre Open Block Trading</t>
  </si>
  <si>
    <t>TR.ACCUMULATEDVOLUMEOFPREOPENBLOCKTRADING</t>
  </si>
  <si>
    <t>Accumulated Volume of Block and Basket trading during Pre-open market.</t>
  </si>
  <si>
    <t>AV_PRE_BSK</t>
  </si>
  <si>
    <t>Accumulated Volume of Pre Open Basket Trading</t>
  </si>
  <si>
    <t>TR.ACCUMULATEDVOLUMEOFPREOPENBASKETTRADING</t>
  </si>
  <si>
    <t>AV_REG_BLK</t>
  </si>
  <si>
    <t>Accumulated Volume of Regular Session Block Trading</t>
  </si>
  <si>
    <t>TR.ACCUMULATEDVOLUMEOFREGULARSESSIONBLOCKTRADING</t>
  </si>
  <si>
    <t>Accumulated Volume of Block and Basket trading during regular session.</t>
  </si>
  <si>
    <t>AV_REG_BSK</t>
  </si>
  <si>
    <t>Accumulated Volume of Regular Session Basket Trading</t>
  </si>
  <si>
    <t>TR.ACCUMULATEDVOLUMEOFREGULARSESSIONBASKETTRADING</t>
  </si>
  <si>
    <t>FRGN_SVOL</t>
  </si>
  <si>
    <t>Foreigners Sell Volume</t>
  </si>
  <si>
    <t>TR.FOREIGNERSSELLVOLUME</t>
  </si>
  <si>
    <t>The foreigners sell volume.</t>
  </si>
  <si>
    <t>TURN_ORDB</t>
  </si>
  <si>
    <t>Total Turnover of Order Book Trades</t>
  </si>
  <si>
    <t>TR.TOTALTURNOVEROFORDERBOOKTRADES</t>
  </si>
  <si>
    <t>The total turnover of trades using the Order Book trading facility.</t>
  </si>
  <si>
    <t>FRGN_BVAL</t>
  </si>
  <si>
    <t>Total Turnover for Foreign Buy Trades</t>
  </si>
  <si>
    <t>TR.TOTALTURNOVERFORFOREIGNBUYTRADES</t>
  </si>
  <si>
    <t>FRGN_SVAL</t>
  </si>
  <si>
    <t>Total Turnover forForeign Sell Trades</t>
  </si>
  <si>
    <t>TR.TOTALTURNOVERFORFOREIGNSELLTRADES</t>
  </si>
  <si>
    <t>Total Turnover for Foreign Sell Trades</t>
  </si>
  <si>
    <t>CAN_VOL</t>
  </si>
  <si>
    <t>Cancelled Trade Volume</t>
  </si>
  <si>
    <t>TR.CANCELLEDTRADEVOLUME</t>
  </si>
  <si>
    <t>Volume of the most recent cancelled trade</t>
  </si>
  <si>
    <t>DOM_BVOL</t>
  </si>
  <si>
    <t>Domestic Investors Buy Volume</t>
  </si>
  <si>
    <t>TR.DOMESTICINVESTORSBUYVOLUME</t>
  </si>
  <si>
    <t>Domestic Investor Buy Volume</t>
  </si>
  <si>
    <t>DOM_SVOL</t>
  </si>
  <si>
    <t>Domestic Investors Sell Volume</t>
  </si>
  <si>
    <t>TR.DOMESTICINVESTORSSELLVOLUME</t>
  </si>
  <si>
    <t>Sell Volume by Domestic Investor</t>
  </si>
  <si>
    <t>FR_SROWN</t>
  </si>
  <si>
    <t>Number of Shares Owned by Sub-regional Nationals</t>
  </si>
  <si>
    <t>TR.NUMBEROFSHARESOWNEDBYSUBREGIONALNATIONALS</t>
  </si>
  <si>
    <t>Number of shares currently owned by Sub-regional nationals</t>
  </si>
  <si>
    <t>FR_ROWN</t>
  </si>
  <si>
    <t>Number of Shares Owned By Regional Nationals</t>
  </si>
  <si>
    <t>TR.NUMBEROFSHARESOWNEDBYREGIONALNATIONALS</t>
  </si>
  <si>
    <t>Number of shares currently owned by Regional nationals</t>
  </si>
  <si>
    <t>DOM_SOWN</t>
  </si>
  <si>
    <t>Number of Shares Owned By Domestic Nationals</t>
  </si>
  <si>
    <t>TR.NUMBEROFSHARESOWNEDBYDOMESTICNATIONALS</t>
  </si>
  <si>
    <t>Number of shares currently owned by Domestic nationals</t>
  </si>
  <si>
    <t>FR_NROWN</t>
  </si>
  <si>
    <t>Number of Shares Owned by Non-regional Nationals</t>
  </si>
  <si>
    <t>TR.NUMBEROFSHARESOWNEDBYNONREGIONALNATIONALS</t>
  </si>
  <si>
    <t>Number of shares currently owned by Non-regional nationals</t>
  </si>
  <si>
    <t>C_AUCV_21D</t>
  </si>
  <si>
    <t>21 Days Average Close Auction Volume</t>
  </si>
  <si>
    <t>TR.21DAYSAVERAGECLOSEAUCTIONVOLUME</t>
  </si>
  <si>
    <t>21-Days Average Close Auction Volume</t>
  </si>
  <si>
    <t>C_AUCV_30D</t>
  </si>
  <si>
    <t>30 Days Average Close Auction Volumes</t>
  </si>
  <si>
    <t>TR.30DAYSAVERAGECLOSEAUCTIONVOLUMES</t>
  </si>
  <si>
    <t>30-Days Average Close Auction Volumes</t>
  </si>
  <si>
    <t>C_AUCV_5D</t>
  </si>
  <si>
    <t>5 Days Average Close Auction Volume</t>
  </si>
  <si>
    <t>TR.5DAYSAVERAGECLOSEAUCTIONVOLUME</t>
  </si>
  <si>
    <t>5-Days Average Close Auction Volume</t>
  </si>
  <si>
    <t>AV_OFHBLK2</t>
  </si>
  <si>
    <t>Secondary Accumulated Volume of Off Hour Block Trading</t>
  </si>
  <si>
    <t>TR.SECONDARYACCUMULATEDVOLUMEOFOFFHOURBLOCKTRADING</t>
  </si>
  <si>
    <t>Secondary accumulated volume of Block trading during off-hour session(s).</t>
  </si>
  <si>
    <t>AV_REGBLK2</t>
  </si>
  <si>
    <t>Secondary Accumulated Volume of Regular Session Block Trading</t>
  </si>
  <si>
    <t>TR.SECONDARYACCUMULATEDVOLUMEOFREGULARSESSIONBLOCKTRADING</t>
  </si>
  <si>
    <t>Secondary accumulated volume of Block trading during regular session.</t>
  </si>
  <si>
    <t>M_SHS_OFST</t>
  </si>
  <si>
    <t>Total Number of Margin and Shortsell Position Offsetted</t>
  </si>
  <si>
    <t>TR.TOTALNUMBEROFMARGINANDSHORTSELLPOSITIONOFFSETTED</t>
  </si>
  <si>
    <t>Today's total number of margin and shortsell position offsetted</t>
  </si>
  <si>
    <t>MRGN_ACVOL</t>
  </si>
  <si>
    <t>Accumulated Bought in Margin Volume</t>
  </si>
  <si>
    <t>TR.ACCUMULATEDBOUGHTINMARGINVOLUME</t>
  </si>
  <si>
    <t>Today's accumulated shares, lots or contract bought in margin.</t>
  </si>
  <si>
    <t>MRGN_CSETL</t>
  </si>
  <si>
    <t>Outstanding Margin Buy Positions Settled by Paying in Full</t>
  </si>
  <si>
    <t>TR.OUTSTANDINGMARGINBUYPOSITIONSSETTLEDBYPAYINGINFULL</t>
  </si>
  <si>
    <t>Today's number of outstanding margin buy positions settled as the result of the positions were paid in full.</t>
  </si>
  <si>
    <t>MRGN_DSETL</t>
  </si>
  <si>
    <t>Outstanding Margin Buy Positions Settled by Delivering</t>
  </si>
  <si>
    <t>TR.OUTSTANDINGMARGINBUYPOSITIONSSETTLEDBYDELIVERING</t>
  </si>
  <si>
    <t>Today's number of outstanding margin buy positions settled by delivering of the instrument.</t>
  </si>
  <si>
    <t>MRGN_P_IFN</t>
  </si>
  <si>
    <t>Outstanding Financial Institutes Margin Buy Positions</t>
  </si>
  <si>
    <t>TR.OUTSTANDINGFINANCIALINSTITUTESMARGINBUYPOSITIONS</t>
  </si>
  <si>
    <t>Outstanding Margin buy position financed by 3rd party financial institutes</t>
  </si>
  <si>
    <t>SH_SAL_POS</t>
  </si>
  <si>
    <t>Number of Shortsell Positions</t>
  </si>
  <si>
    <t>TR.NUMBEROFSHORTSELLPOSITIONS</t>
  </si>
  <si>
    <t xml:space="preserve">Today's shortsell position </t>
  </si>
  <si>
    <t>SHS_ACVOL</t>
  </si>
  <si>
    <t>Shortsell Accumulated Volume</t>
  </si>
  <si>
    <t>TR.SHORTSELLACCUMULATEDVOLUME</t>
  </si>
  <si>
    <t>Today's accumulated shares, lots or contract sold short</t>
  </si>
  <si>
    <t>SHS_CSETL</t>
  </si>
  <si>
    <t>Outstanding Shortsell Positions Settled by Paying in Full</t>
  </si>
  <si>
    <t>TR.OUTSTANDINGSHORTSELLPOSITIONSSETTLEDBYPAYINGINFULL</t>
  </si>
  <si>
    <t>Today's number of outstanding short sell position settled as the result of the positions were paid in full</t>
  </si>
  <si>
    <t>SHS_DSETL</t>
  </si>
  <si>
    <t>Outstanding Shortsell Positions Settled By Instrument Delivery</t>
  </si>
  <si>
    <t>TR.OUTSTANDINGSHORTSELLPOSITIONSSETTLEDBYINSTRUMENTDELIVERY</t>
  </si>
  <si>
    <t xml:space="preserve">Today's number of outstanding short sell positions settled by delivery of the instrument. </t>
  </si>
  <si>
    <t>SHS_P_IFN</t>
  </si>
  <si>
    <t>Outstanding Financial Institutes Shortsell Positions</t>
  </si>
  <si>
    <t>TR.OUTSTANDINGFINANCIALINSTITUTESSHORTSELLPOSITIONS</t>
  </si>
  <si>
    <t>Outstanding short sell positions supported(by security lending) by 3rd party financial institutes.</t>
  </si>
  <si>
    <t>DRK_NUMMOV</t>
  </si>
  <si>
    <t>Number of Dark Trades</t>
  </si>
  <si>
    <t>TR.NUMBEROFDARKTRADES</t>
  </si>
  <si>
    <t>SP_SHS_LMT</t>
  </si>
  <si>
    <t>Special Trade Scheme Shortsell Limit</t>
  </si>
  <si>
    <t>TR.SPECIALTRADESCHEMESHORTSELLLIMIT</t>
  </si>
  <si>
    <t>Shortsell limit for pertaining to special trade scheme</t>
  </si>
  <si>
    <t>SP_SHS_AV</t>
  </si>
  <si>
    <t>Special Trade Scheme Total Shortsell Volume</t>
  </si>
  <si>
    <t>TR.SPECIALTRADESCHEMETOTALSHORTSELLVOLUME</t>
  </si>
  <si>
    <t xml:space="preserve">Special trade scheme total short sell trades volume for a particular trading day </t>
  </si>
  <si>
    <t>FRGN_NETTR</t>
  </si>
  <si>
    <t>Net Trading Value By Foreign Investors</t>
  </si>
  <si>
    <t>TR.NETTRADINGVALUEBYFOREIGNINVESTORS</t>
  </si>
  <si>
    <t>Net Trading by Foreign Investor based on value. (Net trading = Total buy value of foreign investors - Total sell value of foreign investors)</t>
  </si>
  <si>
    <t>DOM_NETTR</t>
  </si>
  <si>
    <t>Net Trading Value By Domestic Investors</t>
  </si>
  <si>
    <t>TR.NETTRADINGVALUEBYDOMESTICINVESTORS</t>
  </si>
  <si>
    <t>Net Trading by Domestic Investor based on value. (Net trading = Total buy value of domestic investors - Total sell value of domestic investors)</t>
  </si>
  <si>
    <t>PMA25</t>
  </si>
  <si>
    <t>25 Day Price Moving Averages</t>
  </si>
  <si>
    <t>TR.25DAYPRICEMOVINGAVERAGES</t>
  </si>
  <si>
    <t>Price Moving Averages</t>
  </si>
  <si>
    <t>VWAP_TOT</t>
  </si>
  <si>
    <t>Total Market VWAP</t>
  </si>
  <si>
    <t>TR.TOTALMARKETVWAP</t>
  </si>
  <si>
    <t>Total market VWAP (on and off book trades)</t>
  </si>
  <si>
    <t>LST_CLN_PR</t>
  </si>
  <si>
    <t>Last Clean Price</t>
  </si>
  <si>
    <t>TR.LASTCLEANPRICE</t>
  </si>
  <si>
    <t>The last clean price published for the instrument</t>
  </si>
  <si>
    <t>PRIM_OPEN</t>
  </si>
  <si>
    <t>Primary Listing Unadjusted Open Price</t>
  </si>
  <si>
    <t>TR.PRIMARYLISTINGUNADJUSTEDOPENPRICE</t>
  </si>
  <si>
    <t>Primary listing's unadjusted (for currency) open price.</t>
  </si>
  <si>
    <t>URPT_SHVOL</t>
  </si>
  <si>
    <t>Non-reported Shortsell Total Volume</t>
  </si>
  <si>
    <t>TR.NONREPORTEDSHORTSELLTOTALVOLUME</t>
  </si>
  <si>
    <t>Total volume of non-reported short sell trades for a particular trading day</t>
  </si>
  <si>
    <t>MRGN_LMT</t>
  </si>
  <si>
    <t>Margin Buy Limit</t>
  </si>
  <si>
    <t>TR.MARGINBUYLIMIT</t>
  </si>
  <si>
    <t>O_MRGN_RTO</t>
  </si>
  <si>
    <t>Outstanding Margin Buy Ratio</t>
  </si>
  <si>
    <t>TR.OUTSTANDINGMARGINBUYRATIO</t>
  </si>
  <si>
    <t>Outstanding margin buy ratio.  (Open Margin Buy Position / Margin Buy Limit)</t>
  </si>
  <si>
    <t>O_SHS_RTO</t>
  </si>
  <si>
    <t>Outstanding Short Sale Ratio</t>
  </si>
  <si>
    <t>TR.OUTSTANDINGSHORTSALERATIO</t>
  </si>
  <si>
    <t>Outstanding short sale ratio.  (Open Short sell position / Short Sale Limit)</t>
  </si>
  <si>
    <t>SH_SAL_NC</t>
  </si>
  <si>
    <t>Shortsell Position Net Change</t>
  </si>
  <si>
    <t>TR.SHORTSELLPOSITIONNETCHANGE</t>
  </si>
  <si>
    <t>The difference between the latest open short sell position and the previous day's short sell position</t>
  </si>
  <si>
    <t>REPO_RATE</t>
  </si>
  <si>
    <t>Repo Rate</t>
  </si>
  <si>
    <t>TR.REPORATE</t>
  </si>
  <si>
    <t>Repo Rate.  The interest rate in a repurchase agreement.</t>
  </si>
  <si>
    <t>SP_SHSTNOV</t>
  </si>
  <si>
    <t>Shortsell Turnover for Special Trade Scheme</t>
  </si>
  <si>
    <t>TR.SHORTSELLTURNOVERFORSPECIALTRADESCHEME</t>
  </si>
  <si>
    <t>Shortsell turnover for special trade scheme</t>
  </si>
  <si>
    <t>SP_SHS_PCT</t>
  </si>
  <si>
    <t xml:space="preserve">Daily Shortsell Percentage for Special Trade Scheme </t>
  </si>
  <si>
    <t>TR.DAILYSHORTSELLPERCENTAGEFORSPECIALTRADESCHEME</t>
  </si>
  <si>
    <t xml:space="preserve">Daily short selling percentage for special trade scheme </t>
  </si>
  <si>
    <t>SP_SHS10CP</t>
  </si>
  <si>
    <t>10 Day Cumulative Shortselling Percentage for Special Trade</t>
  </si>
  <si>
    <t>TR.10DAYCUMULATIVESHORTSELLINGPERCENTAGEFORSPECIALTRADE</t>
  </si>
  <si>
    <t xml:space="preserve">10-day cumulative short selling percentage for special trade scheme </t>
  </si>
  <si>
    <t>LMT_REFPR2</t>
  </si>
  <si>
    <t>Reference Price for Price Limit Calculation</t>
  </si>
  <si>
    <t>TR.REFERENCEPRICEFORPRICELIMITCALCULATION</t>
  </si>
  <si>
    <t>Reference price for upper/lower price limit calculation, associated with UPLIMIT_2 (#3816) / LOLIMIT_2 (#3815)</t>
  </si>
  <si>
    <t>DRK_ACVOL</t>
  </si>
  <si>
    <t>Accumulated Dark Trade Volume</t>
  </si>
  <si>
    <t>TR.ACCUMULATEDDARKTRADEVOLUME</t>
  </si>
  <si>
    <t>DRK_TNOV</t>
  </si>
  <si>
    <t>Total Dark Turnover</t>
  </si>
  <si>
    <t>TR.TOTALDARKTURNOVER</t>
  </si>
  <si>
    <t>Open_Fund_Unit</t>
  </si>
  <si>
    <t>IRGVOL</t>
  </si>
  <si>
    <t>Irregular Trade Volume</t>
  </si>
  <si>
    <t>TR.IRREGULARTRADEVOLUME</t>
  </si>
  <si>
    <t>The volume associated with the price held in the field IRGPRC (FID 372).</t>
  </si>
  <si>
    <t>ORDBK_VOL</t>
  </si>
  <si>
    <t>Orderbook Trade Volume</t>
  </si>
  <si>
    <t>TR.ORDERBOOKTRADEVOLUME</t>
  </si>
  <si>
    <t>Orderbook trade volume</t>
  </si>
  <si>
    <t>NAVALUE</t>
  </si>
  <si>
    <t>Net Asset Value</t>
  </si>
  <si>
    <t>TR.NETASSETVAL</t>
  </si>
  <si>
    <t>Net asset value</t>
  </si>
  <si>
    <t>HST_CLOSE2</t>
  </si>
  <si>
    <t>Alternate Market Close Price</t>
  </si>
  <si>
    <t>TR.ALTERNATEMARKETCLOSEPRICE</t>
  </si>
  <si>
    <t>A secondary close field for those markets with more than one closing types.</t>
  </si>
  <si>
    <t>DIVIDEND</t>
  </si>
  <si>
    <t>Annualized Dividend</t>
  </si>
  <si>
    <t>TR.ANNUALIZEDDIVIDEND</t>
  </si>
  <si>
    <t>Annualized dividend or the latest reported dividend.  Strategically to be used for Annualized dividend</t>
  </si>
  <si>
    <t>AUC_ONL_PR</t>
  </si>
  <si>
    <t>Auction Only Price</t>
  </si>
  <si>
    <t>TR.AUCTIONONLYPRICE</t>
  </si>
  <si>
    <t>Used where the exchange provides a separate indicative price for continuous orders during the auction versus auction only prices. This will provide the price at which the order book will match using only auction orders.</t>
  </si>
  <si>
    <t>DELTA</t>
  </si>
  <si>
    <t>Delta</t>
  </si>
  <si>
    <t>TR.DELTA</t>
  </si>
  <si>
    <t>Delta.</t>
  </si>
  <si>
    <t>IMP_VOLT</t>
  </si>
  <si>
    <t>Implied Volatility</t>
  </si>
  <si>
    <t>TR.IMPLIEDVOLATILITY</t>
  </si>
  <si>
    <t>IMP_VOLTA</t>
  </si>
  <si>
    <t>Implied Volatility of Ask Price</t>
  </si>
  <si>
    <t>TR.IMPLIEDVOLATILITYOFASKPRICE</t>
  </si>
  <si>
    <t>Implied volatility of ASK price.</t>
  </si>
  <si>
    <t>IMP_VOLTB</t>
  </si>
  <si>
    <t>Implied Volatility of Bid Price</t>
  </si>
  <si>
    <t>TR.IMPLIEDVOLATILITYOFBIDPRICE</t>
  </si>
  <si>
    <t>Implied volatility of BID price.</t>
  </si>
  <si>
    <t>AVG_BUY</t>
  </si>
  <si>
    <t>Average Buy Price</t>
  </si>
  <si>
    <t>TR.AVERAGEBUYPRICE</t>
  </si>
  <si>
    <t>Average price paid for buy side transactions.</t>
  </si>
  <si>
    <t>AVG_SELL</t>
  </si>
  <si>
    <t>Average Sell Price</t>
  </si>
  <si>
    <t>TR.AVERAGESELLPRICE</t>
  </si>
  <si>
    <t>Average price paid for sell or ask side transactions.</t>
  </si>
  <si>
    <t>AMT_ISSUE</t>
  </si>
  <si>
    <t>Total Amount of Shares Issued</t>
  </si>
  <si>
    <t>TR.TOTALAMOUNTOFSHARESISSUED</t>
  </si>
  <si>
    <t>Total amount of shares(unit of instruments) issued.</t>
  </si>
  <si>
    <t>PROT_PRC</t>
  </si>
  <si>
    <t>Knock Out Price</t>
  </si>
  <si>
    <t>TR.KNOCKOUTPRICE</t>
  </si>
  <si>
    <t>This is the Knock out price, which means when this price is reached the certificate is automatically expired even if the maturity date is not reached</t>
  </si>
  <si>
    <t>PCT_WT_ISS</t>
  </si>
  <si>
    <t>Percent of Warrant issued</t>
  </si>
  <si>
    <t>TR.PERCENTOFWARRANTISSUED</t>
  </si>
  <si>
    <t>Percent of issue still out in the market</t>
  </si>
  <si>
    <t>AVPRC_WT_B</t>
  </si>
  <si>
    <t>Warrants Bought Average Price</t>
  </si>
  <si>
    <t>TR.WARRANTSBOUGHTAVERAGEPRICE</t>
  </si>
  <si>
    <t>Average Price of warrants Bought</t>
  </si>
  <si>
    <t>AVPRC_WT_A</t>
  </si>
  <si>
    <t>Warrants Sold Average Price</t>
  </si>
  <si>
    <t>TR.WARRANTSSOLDAVERAGEPRICE</t>
  </si>
  <si>
    <t>Average Price of warrants Sold</t>
  </si>
  <si>
    <t>CB_PRICE</t>
  </si>
  <si>
    <t>Circuit Breaker Price</t>
  </si>
  <si>
    <t>TR.CIRCUITBREAKERPRICE</t>
  </si>
  <si>
    <t>Price of trade which triggered a circuit breaker</t>
  </si>
  <si>
    <t>SYNCIDX_1D</t>
  </si>
  <si>
    <t>Sync Index 1 Day</t>
  </si>
  <si>
    <t>TR.SYNCINDEX1DAY</t>
  </si>
  <si>
    <t>Sync Index - 1 Day, Calculated with the percentage change of the deriviate instrument over the percentage change of its underlying.</t>
  </si>
  <si>
    <t>IV_EXCH</t>
  </si>
  <si>
    <t>Exchange Provided Implied Volatility</t>
  </si>
  <si>
    <t>TR.EXCHANGEPROVIDEDIMPLIEDVOLATILITY</t>
  </si>
  <si>
    <t>Exchange provided Implied Volatility</t>
  </si>
  <si>
    <t>PERIOD_CD2</t>
  </si>
  <si>
    <t>Period Code</t>
  </si>
  <si>
    <t>TR.PERIODCODE</t>
  </si>
  <si>
    <t>Native code to indicate the current phase of an instrument.</t>
  </si>
  <si>
    <t>ETF</t>
  </si>
  <si>
    <t>BIDSIZE</t>
  </si>
  <si>
    <t>Bid Size</t>
  </si>
  <si>
    <t>TR.BIDSIZE</t>
  </si>
  <si>
    <t>The number of shares, lots, or contracts willing to buy at the Bid price</t>
  </si>
  <si>
    <t>ASKSIZE</t>
  </si>
  <si>
    <t>Ask Size</t>
  </si>
  <si>
    <t>TR.ASKSIZE</t>
  </si>
  <si>
    <t>The number of shares, lots, or contracts willing to sell at the Ask price</t>
  </si>
  <si>
    <t>FR_REM_PCT</t>
  </si>
  <si>
    <t>Remain Percentage of Shares for Foreign Investors</t>
  </si>
  <si>
    <t>TR.REMAINPERCENTAGEOFSHARESFORFOREIGNINVESTORS</t>
  </si>
  <si>
    <t>Remaining percentage of total shares available to foreign investors (remaining shares percentage for foreign investors)</t>
  </si>
  <si>
    <t>FI_Bonds_CNV</t>
  </si>
  <si>
    <t>YLDTOMAT</t>
  </si>
  <si>
    <t>Yield to Maturity</t>
  </si>
  <si>
    <t>TR.YIELDTOMATURITY</t>
  </si>
  <si>
    <t>For debt instruments the yield to maturity which is the yield taking into account the price discount or premium over face value.</t>
  </si>
  <si>
    <t>MID_YLD_1</t>
  </si>
  <si>
    <t>Mid Yield</t>
  </si>
  <si>
    <t>TR.MIDYIELD</t>
  </si>
  <si>
    <t>Mid Yield stack FIDs</t>
  </si>
  <si>
    <t>NETCHNG_1</t>
  </si>
  <si>
    <t>Net Change</t>
  </si>
  <si>
    <t>TR.NETCHANGE</t>
  </si>
  <si>
    <t>Difference between the lastest trading price or value and the adjusted historical closing value or settlement price.</t>
  </si>
  <si>
    <t>BMK_YIELD</t>
  </si>
  <si>
    <t>Benchmark Bond Yield</t>
  </si>
  <si>
    <t>TR.BENCHMARKBONDYIELD</t>
  </si>
  <si>
    <t>YLDWST</t>
  </si>
  <si>
    <t>Yield to Worst</t>
  </si>
  <si>
    <t>TR.YIELDTOWORST</t>
  </si>
  <si>
    <t>Yield To Worst</t>
  </si>
  <si>
    <t>YLDBST</t>
  </si>
  <si>
    <t>Yield to Best</t>
  </si>
  <si>
    <t>TR.YIELDTOBEST</t>
  </si>
  <si>
    <t>Yield to best</t>
  </si>
  <si>
    <t>THEO_PRC</t>
  </si>
  <si>
    <t>Theoretical Price</t>
  </si>
  <si>
    <t>TR.THEORETICALPRICE</t>
  </si>
  <si>
    <t xml:space="preserve">Theoretical price </t>
  </si>
  <si>
    <t>CNV_PARITY</t>
  </si>
  <si>
    <t>Conversion Parity</t>
  </si>
  <si>
    <t>TR.CONVERSIONPARITY</t>
  </si>
  <si>
    <t>The price at which a convertible instrument must sell for it to equal the current shares to be received upon conversion.</t>
  </si>
  <si>
    <t>CNV_PREM</t>
  </si>
  <si>
    <t>Conversion Premium</t>
  </si>
  <si>
    <t>TR.CONVERSIONPREMIUM</t>
  </si>
  <si>
    <t>The conversion premium indicates positive/negative percent if the cost of converting into the share is above or below the current cost in the market</t>
  </si>
  <si>
    <t>BOND_FLR</t>
  </si>
  <si>
    <t>Bond Floor</t>
  </si>
  <si>
    <t>TR.BONDFLOOR</t>
  </si>
  <si>
    <t>Bond Floor Price for Convertible</t>
  </si>
  <si>
    <t>CNV_EDGE1</t>
  </si>
  <si>
    <t>Convertible Edge</t>
  </si>
  <si>
    <t>TR.CONVERTIBLEEDGE</t>
  </si>
  <si>
    <t>% of stock that can be converted</t>
  </si>
  <si>
    <t>OPEN_ASK</t>
  </si>
  <si>
    <t>Open Ask Price</t>
  </si>
  <si>
    <t>TR.OPENASKPRICE</t>
  </si>
  <si>
    <t>ASK_HIGH_1</t>
  </si>
  <si>
    <t>TR.HIGHASKPRICE</t>
  </si>
  <si>
    <t>Highest value of recorded ask orders</t>
  </si>
  <si>
    <t>ASK_LOW_1</t>
  </si>
  <si>
    <t>Low Ask Price</t>
  </si>
  <si>
    <t>TR.LOWASKPRICE</t>
  </si>
  <si>
    <t>Lowest value of recorded ask orders</t>
  </si>
  <si>
    <t>OPEN_YLD</t>
  </si>
  <si>
    <t>Open Yield</t>
  </si>
  <si>
    <t>TR.OPENYIELD</t>
  </si>
  <si>
    <t>The opening yield of the day for Japanese instruments cleared during the pre-market clear.</t>
  </si>
  <si>
    <t>HIGH_YLD</t>
  </si>
  <si>
    <t>High Yield</t>
  </si>
  <si>
    <t>TR.HIGHYIELD</t>
  </si>
  <si>
    <t>The day's highest yield as held in the RT_YIELD_1 field. This is cleared during the pre-market clear.</t>
  </si>
  <si>
    <t>LOW_YLD</t>
  </si>
  <si>
    <t>Low Yield</t>
  </si>
  <si>
    <t>TR.LOWYIELD</t>
  </si>
  <si>
    <t>The day's lowest yield as held in the RT_YIELD_1 field. This is cleared during the pre-market clear.</t>
  </si>
  <si>
    <t>A_YLD_1</t>
  </si>
  <si>
    <t>Ask Yield</t>
  </si>
  <si>
    <t>TR.ASKYIELD</t>
  </si>
  <si>
    <t>Five rippled Ask Yield fields</t>
  </si>
  <si>
    <t>B_YLD_1</t>
  </si>
  <si>
    <t>Bid Yield</t>
  </si>
  <si>
    <t>TR.BIDYIELD</t>
  </si>
  <si>
    <t>Five rippled Bid Yield fields</t>
  </si>
  <si>
    <t>ACCR_INT</t>
  </si>
  <si>
    <t>Accrued Interest</t>
  </si>
  <si>
    <t>TR.ACCRUEDINTEREST</t>
  </si>
  <si>
    <t>Interest which has accumulated on a security since payment.</t>
  </si>
  <si>
    <t>AUCTN_DATE</t>
  </si>
  <si>
    <t>Auction Date</t>
  </si>
  <si>
    <t>TR.BONDAUCTIONDATE</t>
  </si>
  <si>
    <t>The date the bond is auctioned.</t>
  </si>
  <si>
    <t>SMP_YIELD</t>
  </si>
  <si>
    <t>Simple Yield</t>
  </si>
  <si>
    <t>TR.SIMPLEYIELD</t>
  </si>
  <si>
    <t>Simple yield.</t>
  </si>
  <si>
    <t>CLOSE_YLD2</t>
  </si>
  <si>
    <t>Second Close Yield</t>
  </si>
  <si>
    <t>TR.SECONDCLOSEYIELD</t>
  </si>
  <si>
    <t>Second close yield field (associated to HST_CLSYLD) for quotes involving more than one close yield field</t>
  </si>
  <si>
    <t>HIGH_YLD2</t>
  </si>
  <si>
    <t>Second High Yield</t>
  </si>
  <si>
    <t>TR.SECONDHIGHYIELD</t>
  </si>
  <si>
    <t>Second High yield field (ass to HIGH_YLD) for quotes involving more than one High yield field</t>
  </si>
  <si>
    <t>LOW_YLD2</t>
  </si>
  <si>
    <t>Second Low Yield</t>
  </si>
  <si>
    <t>TR.SECONDLOWYIELD</t>
  </si>
  <si>
    <t>Second Low yield field (ass to LOW_YLD) for quotes involving more than one Low yield field</t>
  </si>
  <si>
    <t>OPEN_YLD2</t>
  </si>
  <si>
    <t>Second Open Yield</t>
  </si>
  <si>
    <t>TR.SECONDOPENYIELD</t>
  </si>
  <si>
    <t>Second Open yield field (ass to OPEN_YLD) for quotes involving more than one open yield field</t>
  </si>
  <si>
    <t>TRTN_PRICE</t>
  </si>
  <si>
    <t>Daily Total Return</t>
  </si>
  <si>
    <t>TR.DAILYTOTALRETURN</t>
  </si>
  <si>
    <t>INT_GV_SPD</t>
  </si>
  <si>
    <t>Interpolated Government Spread</t>
  </si>
  <si>
    <t>TR.INTERPOLATEDGOVERNMENTSPREAD</t>
  </si>
  <si>
    <t>Interpolated Government Spread. (Bond Yield - Interpolated Government Yield)</t>
  </si>
  <si>
    <t>AC_BASK_SZ</t>
  </si>
  <si>
    <t>Accumulated Best Ask Size</t>
  </si>
  <si>
    <t>TR.ACCUMULATEDBESTASKSIZE</t>
  </si>
  <si>
    <t>Today's total number of potential Best Ask sizes offered</t>
  </si>
  <si>
    <t>AC_BBID_SZ</t>
  </si>
  <si>
    <t>Accumulated Best Bid Size</t>
  </si>
  <si>
    <t>TR.ACCUMULATEDBESTBIDSIZE</t>
  </si>
  <si>
    <t>Today's total number of potential Best Bid sizes offered</t>
  </si>
  <si>
    <t>AC_BQTE_SZ</t>
  </si>
  <si>
    <t>Accumulated Total of Best Bid and Ask Sizes</t>
  </si>
  <si>
    <t>TR.ACCUMULATEDTOTALOFBESTBIDANDASKSIZES</t>
  </si>
  <si>
    <t>Today's total number of potential Best Bid sizes and Ask sizes offered</t>
  </si>
  <si>
    <t>MAX_DEALER</t>
  </si>
  <si>
    <t>Maximum Number of Dealers</t>
  </si>
  <si>
    <t>TR.MAXIMUMNUMBEROFDEALERS</t>
  </si>
  <si>
    <t xml:space="preserve">Today's maximum number of Dealers/Market Participants quoting the potential best quote </t>
  </si>
  <si>
    <t>NUM_ACTQTE</t>
  </si>
  <si>
    <t>Total Number of Active Best Bid and Ask Quotes</t>
  </si>
  <si>
    <t>TR.TOTALNUMBEROFACTIVEBESTBIDANDASKQUOTES</t>
  </si>
  <si>
    <t>Total number of active Best Bid/Ask quotes at the current moment</t>
  </si>
  <si>
    <t>LIQ_VALUE</t>
  </si>
  <si>
    <t>Liquidity Value</t>
  </si>
  <si>
    <t>TR.LIQUIDITYVALUE</t>
  </si>
  <si>
    <t xml:space="preserve">Liquidity value assigned to an issue. </t>
  </si>
  <si>
    <t>CNV_PRICE</t>
  </si>
  <si>
    <t>Conversion Price</t>
  </si>
  <si>
    <t>TR.CONVPRICE</t>
  </si>
  <si>
    <t>The share price at which the principal amount of a convertible bond may be used to acquire shares in owned by or related to the issuing company.</t>
  </si>
  <si>
    <t>STOCK_PRC</t>
  </si>
  <si>
    <t>Stock Price</t>
  </si>
  <si>
    <t>TR.STOCKPRICE</t>
  </si>
  <si>
    <t>Stock price.</t>
  </si>
  <si>
    <t>CNV_RATIO</t>
  </si>
  <si>
    <t>Conversion Ratio</t>
  </si>
  <si>
    <t>TR.CONVERSIONRATIO</t>
  </si>
  <si>
    <t>The Conversion Ratio is the number of shares per nominal amount of bond.</t>
  </si>
  <si>
    <t>PAR_AMT</t>
  </si>
  <si>
    <t>Par Amount</t>
  </si>
  <si>
    <t>TR.PARAMOUNT</t>
  </si>
  <si>
    <t>Par Amount.</t>
  </si>
  <si>
    <t>CREDIT_SPD</t>
  </si>
  <si>
    <t>Credit Spread</t>
  </si>
  <si>
    <t>TR.CREDITSPREAD</t>
  </si>
  <si>
    <t>Credit spread expressed in basis points.</t>
  </si>
  <si>
    <t>FI_Bonds_FRN</t>
  </si>
  <si>
    <t>ASK_SPREAD</t>
  </si>
  <si>
    <t>Ask Spread</t>
  </si>
  <si>
    <t>TR.ASKSPREAD</t>
  </si>
  <si>
    <t>Basis point spread value calculated using the Ask yield.</t>
  </si>
  <si>
    <t>BID_SPREAD</t>
  </si>
  <si>
    <t>Bid Spread</t>
  </si>
  <si>
    <t>TR.BIDSPREAD</t>
  </si>
  <si>
    <t>Basis point spread value calculated using the Bid yield.</t>
  </si>
  <si>
    <t>CMP_YIELD</t>
  </si>
  <si>
    <t>Compound Yield</t>
  </si>
  <si>
    <t>TR.COMPOUNDYIELD</t>
  </si>
  <si>
    <t>Compound yield.</t>
  </si>
  <si>
    <t>ISMA_B_YLD</t>
  </si>
  <si>
    <t>ISMA Bid Yield</t>
  </si>
  <si>
    <t>TR.ISMABIDYIELD</t>
  </si>
  <si>
    <t>ISMA Bid &amp; Ask yields.</t>
  </si>
  <si>
    <t>ISMA_A_YLD</t>
  </si>
  <si>
    <t>ISMA Ask Yield</t>
  </si>
  <si>
    <t>TR.ISMAASKYIELD</t>
  </si>
  <si>
    <t>DISC_ASK1</t>
  </si>
  <si>
    <t>Ask Discount</t>
  </si>
  <si>
    <t>TR.ASKDISCOUNT</t>
  </si>
  <si>
    <t xml:space="preserve">The 5 best Ask Discount values </t>
  </si>
  <si>
    <t>DISC_BID1</t>
  </si>
  <si>
    <t>Bid Discount</t>
  </si>
  <si>
    <t>TR.BIDDISCOUNT</t>
  </si>
  <si>
    <t xml:space="preserve">The 5 best Bid Discount values </t>
  </si>
  <si>
    <t>SMP_MARGIN</t>
  </si>
  <si>
    <t>Simple Margin</t>
  </si>
  <si>
    <t>TR.SIMPLEMARGIN</t>
  </si>
  <si>
    <t>The average cash return per annum on the FRN through out its life relative to its index.</t>
  </si>
  <si>
    <t>DSC_MARGIN</t>
  </si>
  <si>
    <t>Discount Margin</t>
  </si>
  <si>
    <t>TR.DISCOUNTMARGIN</t>
  </si>
  <si>
    <t>The Discount Margin is a measure of return from a FRN relative to that from its index rate e.g. LIBOR calculated by discounting future cash flows on a money market basis.</t>
  </si>
  <si>
    <t>CLEAN_PRC</t>
  </si>
  <si>
    <t>Clean Price</t>
  </si>
  <si>
    <t>TR.CLEANPRICE</t>
  </si>
  <si>
    <t>Price excluding accrued interest.</t>
  </si>
  <si>
    <t>DIRTY_PRC</t>
  </si>
  <si>
    <t>Dirty Price</t>
  </si>
  <si>
    <t>TR.DIRTYPRICE</t>
  </si>
  <si>
    <t>Price including accrued interest</t>
  </si>
  <si>
    <t>COMP_DEPTH</t>
  </si>
  <si>
    <t>Number of Contributors</t>
  </si>
  <si>
    <t>TR.NUMBEROFCONTRIBUTORS</t>
  </si>
  <si>
    <t># of contributors used to build the composite</t>
  </si>
  <si>
    <t>MAC_DURTN</t>
  </si>
  <si>
    <t>Macaulay Duration</t>
  </si>
  <si>
    <t>TR.MACAULAYDURATION</t>
  </si>
  <si>
    <t xml:space="preserve">A measure how sensitive a bond or a bond portfolio's price is to changes in interest rates. </t>
  </si>
  <si>
    <t>INT_BASIS</t>
  </si>
  <si>
    <t>Spread between Interpolated CDS Spread and Z Spread of Bond</t>
  </si>
  <si>
    <t>TR.SPREADBETWEENINTERPOLATEDCDSSPREADANDZSPREADOFBOND</t>
  </si>
  <si>
    <t>Interpolated CDS Spread - Asset Swap Spread (or equivalent).</t>
  </si>
  <si>
    <t>INT_CDS</t>
  </si>
  <si>
    <t>Interpolated CDS Spread</t>
  </si>
  <si>
    <t>TR.INTERPOLATEDCDSSPREAD</t>
  </si>
  <si>
    <t>Interpolated CDS spread taking the difference of the yield to maturity of the underlying bond against the interpolated yield of the same maturity on the CDS reference curve.</t>
  </si>
  <si>
    <t>DURATION</t>
  </si>
  <si>
    <t>Total Duration</t>
  </si>
  <si>
    <t>TR.TOTALDURATION</t>
  </si>
  <si>
    <t>The duration of a debt instrument.</t>
  </si>
  <si>
    <t>AVG_PRC1</t>
  </si>
  <si>
    <t>Average Price for Fixed Income Instruments</t>
  </si>
  <si>
    <t>TR.AVERAGEPRICEFORFIXEDINCOMEINSTRUMENTS</t>
  </si>
  <si>
    <t>Displays the average price for Fixed Income instruments.</t>
  </si>
  <si>
    <t>MEDN_PRC</t>
  </si>
  <si>
    <t>Median Price</t>
  </si>
  <si>
    <t>TR.MEDIANPRICE</t>
  </si>
  <si>
    <t>The Median value calculated on Price</t>
  </si>
  <si>
    <t>HI_AVGPRC</t>
  </si>
  <si>
    <t>High Average Price</t>
  </si>
  <si>
    <t>TR.HIGHAVERAGEPRICE</t>
  </si>
  <si>
    <t>LO_AVGPRC</t>
  </si>
  <si>
    <t>Low Average Price</t>
  </si>
  <si>
    <t>TR.LOWAVERAGEPRICE</t>
  </si>
  <si>
    <t>IBOR_SPRD</t>
  </si>
  <si>
    <t>Interbank Offered Rate Spread</t>
  </si>
  <si>
    <t>TR.INTERBANKOFFEREDRATESPREAD</t>
  </si>
  <si>
    <t>Spread +/- Index. The number of basis points above or below the index from the coupon is calculated.</t>
  </si>
  <si>
    <t>FRN_IDX_VL</t>
  </si>
  <si>
    <t>Floating Rate Note Index Value</t>
  </si>
  <si>
    <t>TR.FLOATINGRATENOTEINDEXVALUE</t>
  </si>
  <si>
    <t>Floating Rate Note Index value</t>
  </si>
  <si>
    <t>NXT_CPNDUR</t>
  </si>
  <si>
    <t>Next Coupon Duration</t>
  </si>
  <si>
    <t>TR.NEXTCOUPONDURATION</t>
  </si>
  <si>
    <t>Next coupon duration.</t>
  </si>
  <si>
    <t>REF_CDS</t>
  </si>
  <si>
    <t>Reference Credit Default Swap</t>
  </si>
  <si>
    <t>TR.REFERENCECREDITDEFAULTSWAP</t>
  </si>
  <si>
    <t>FR_MARGIN</t>
  </si>
  <si>
    <t>Floating Rate Margin</t>
  </si>
  <si>
    <t>TR.FLOATINGRATEMARGIN</t>
  </si>
  <si>
    <t>Increment added to calculation when calculating the current interest rate on a loan</t>
  </si>
  <si>
    <t>ASK_CL_DMG</t>
  </si>
  <si>
    <t>Ask Close Discount Margin</t>
  </si>
  <si>
    <t>TR.ASKCLOSEDISCOUNTMARGIN</t>
  </si>
  <si>
    <t>ASK_H_DMG</t>
  </si>
  <si>
    <t>Ask High Discount Margin</t>
  </si>
  <si>
    <t>TR.ASKHIGHDISCOUNTMARGIN</t>
  </si>
  <si>
    <t xml:space="preserve">Ask High Discount Margin </t>
  </si>
  <si>
    <t>ASK_L_DMG</t>
  </si>
  <si>
    <t>Ask Low Discount Margin</t>
  </si>
  <si>
    <t>TR.ASKLOWDISCOUNTMARGIN</t>
  </si>
  <si>
    <t xml:space="preserve">Ask Low Discount Margin </t>
  </si>
  <si>
    <t>ASK_O_DMG</t>
  </si>
  <si>
    <t>Ask Open Discount Margin</t>
  </si>
  <si>
    <t>TR.ASKOPENDISCOUNTMARGIN</t>
  </si>
  <si>
    <t>BID_CL_DMG</t>
  </si>
  <si>
    <t>Bid Close Discount Margin</t>
  </si>
  <si>
    <t>TR.BIDCLOSEDISCOUNTMARGIN</t>
  </si>
  <si>
    <t>BID_H_DMG</t>
  </si>
  <si>
    <t>Bid High Discount Margin</t>
  </si>
  <si>
    <t>TR.BIDHIGHDISCOUNTMARGIN</t>
  </si>
  <si>
    <t>BID_L_DMG</t>
  </si>
  <si>
    <t>Bid Low Discount Margin</t>
  </si>
  <si>
    <t>TR.BIDLOWDISCOUNTMARGIN</t>
  </si>
  <si>
    <t xml:space="preserve">Bid Low Discount Margin </t>
  </si>
  <si>
    <t>BID_O_DMG</t>
  </si>
  <si>
    <t>Bid Open Discount Margin</t>
  </si>
  <si>
    <t>TR.BIDOPENDISCOUNTMARGIN</t>
  </si>
  <si>
    <t xml:space="preserve">Bid Open Discount Margin </t>
  </si>
  <si>
    <t>CDS_BASMAT</t>
  </si>
  <si>
    <t>Closest to Maturity CDS Basis</t>
  </si>
  <si>
    <t>TR.CLOSESTTOMATURITYCDSBASIS</t>
  </si>
  <si>
    <t xml:space="preserve">Closest-to-maturity CDS Basis </t>
  </si>
  <si>
    <t>QTD_MARGIN</t>
  </si>
  <si>
    <t>Quoted Margin for FRN</t>
  </si>
  <si>
    <t>TR.QUOTEDMARGINFORFRN</t>
  </si>
  <si>
    <t>Quoted margin- FRN.  Quoted margin is - additional spread added to the reference rate of the floater.</t>
  </si>
  <si>
    <t>MID_CL_DMG</t>
  </si>
  <si>
    <t>Mid Close Discount Margin</t>
  </si>
  <si>
    <t>TR.MIDCLOSEDISCOUNTMARGIN</t>
  </si>
  <si>
    <t>MID Close Discount Margin</t>
  </si>
  <si>
    <t>FI_Bonds_IDX</t>
  </si>
  <si>
    <t>ASP1M</t>
  </si>
  <si>
    <t>Asset Swap Spread 1M</t>
  </si>
  <si>
    <t>TR.ASSETSWAPSPREAD1M</t>
  </si>
  <si>
    <t>The Asset Swap Spread is the basis point margin over or under a reference rate for a bond whose cash flows have been converted from fixed to floating via an 1M basis interest rate swap</t>
  </si>
  <si>
    <t>ASP3M</t>
  </si>
  <si>
    <t>Asset Swap Spread 3M</t>
  </si>
  <si>
    <t>TR.ASSETSWAPSPREAD3M</t>
  </si>
  <si>
    <t>The Asset Swap Spread is the basis point margin over or under a reference rate for a bond whose cash flows have been converted from fixed to floating via an 3M basis interest rate swap</t>
  </si>
  <si>
    <t>ASP6M</t>
  </si>
  <si>
    <t>Asset Swap Spread 6M</t>
  </si>
  <si>
    <t>TR.ASSETSWAPSPREAD6M</t>
  </si>
  <si>
    <t>The Asset Swap Spread is the basis point margin over or under a reference rate for a bond whose cash flows have been converted from fixed to floating via an 6M basis interest rate swap</t>
  </si>
  <si>
    <t>AST_SWPSPD</t>
  </si>
  <si>
    <t>Asset Swap Spread</t>
  </si>
  <si>
    <t>TR.ASSETSWAPSPREAD</t>
  </si>
  <si>
    <t>ZSPREAD</t>
  </si>
  <si>
    <t>Z Spread</t>
  </si>
  <si>
    <t>TR.ZSPREAD</t>
  </si>
  <si>
    <t>Z Spread. The difference in basis points required to make the bond perform to par.</t>
  </si>
  <si>
    <t>BEVEN_INF</t>
  </si>
  <si>
    <t>Breakeven Inflation</t>
  </si>
  <si>
    <t>TR.BREAKEVENINFLATION</t>
  </si>
  <si>
    <t>Breakeven Inflation. Rate the non-zero indexed bond wld generate the same nominal return to maturity as the conventional bond.</t>
  </si>
  <si>
    <t>CMP_YLD_A</t>
  </si>
  <si>
    <t>Ask Compound Yield</t>
  </si>
  <si>
    <t>TR.ASKCOMPOUNDYIELD</t>
  </si>
  <si>
    <t>CMP_YLD_B</t>
  </si>
  <si>
    <t>Bid Compound Yield</t>
  </si>
  <si>
    <t>TR.BIDCOMPOUNDYIELD</t>
  </si>
  <si>
    <t>REAL_YLDA</t>
  </si>
  <si>
    <t>Ask Real Yield</t>
  </si>
  <si>
    <t>TR.ASKREALYIELD</t>
  </si>
  <si>
    <t>The real ask yield is the annualised rate of return earned by holding an inflation linked security to maturity in addition to a compensation for inflation</t>
  </si>
  <si>
    <t>REAL_YLDB</t>
  </si>
  <si>
    <t>Bid Real Yield</t>
  </si>
  <si>
    <t>TR.BIDREALYIELD</t>
  </si>
  <si>
    <t>The real bid yield is the annualised rate of return earned by holding an inflation linked security to maturity in addition to a compensation for inflation</t>
  </si>
  <si>
    <t>MOD_DURTN</t>
  </si>
  <si>
    <t>Modified Duration</t>
  </si>
  <si>
    <t>TR.MODIFIEDDURATION</t>
  </si>
  <si>
    <t>Modified duration a measure of the sensitivity of a bond's price to changes in yield (e.g. if a bond has a modified duration of 4 and a price of 100 for every 10 basis points change in yield the price would change inversely by 0.4).</t>
  </si>
  <si>
    <t>EFP_ASKYLD</t>
  </si>
  <si>
    <t>Exchange for Physical Ask Yield Spread</t>
  </si>
  <si>
    <t>TR.EXCHANGEFORPHYSICALASKYIELDSPREAD</t>
  </si>
  <si>
    <t>Exchange for physical ask yield spread</t>
  </si>
  <si>
    <t>EFP_BIDYLD</t>
  </si>
  <si>
    <t>Exchange for Physical Bid Yield Spread</t>
  </si>
  <si>
    <t>TR.EXCHANGEFORPHYSICALBIDYIELDSPREAD</t>
  </si>
  <si>
    <t>Exchange for physical bid yield spread</t>
  </si>
  <si>
    <t>IND_PRC</t>
  </si>
  <si>
    <t>Indicative Price</t>
  </si>
  <si>
    <t>TR.INDICATIVEPRICE</t>
  </si>
  <si>
    <t>Indicative Price (not firm) not as the result of an auction.  For auction indicative price use IND_AUC #3912.</t>
  </si>
  <si>
    <t>UNDR_INDEX</t>
  </si>
  <si>
    <t>Underlying Index</t>
  </si>
  <si>
    <t>TR.UNDERLYINGINDEX</t>
  </si>
  <si>
    <t>Represents the RIC of the underlying index for an Exchange Traded Fund (ETF)</t>
  </si>
  <si>
    <t>IDX_BASE</t>
  </si>
  <si>
    <t>Base Index</t>
  </si>
  <si>
    <t>TR.BASEINDEX</t>
  </si>
  <si>
    <t>Base Index. Base Value of underlying index at issue</t>
  </si>
  <si>
    <t>IDX_RATIO</t>
  </si>
  <si>
    <t>Index Ratio</t>
  </si>
  <si>
    <t>TR.INDEXRATIO</t>
  </si>
  <si>
    <t>Index Ratio. Ratio indicating the adjustment required to principal. Reflects the growth of the index</t>
  </si>
  <si>
    <t>IDX_VALUE</t>
  </si>
  <si>
    <t>Index Value</t>
  </si>
  <si>
    <t>TR.INDEXVALUE</t>
  </si>
  <si>
    <t xml:space="preserve">An indicator providing a representation of the value of the securities which constitute it. </t>
  </si>
  <si>
    <t>BID_ZSPRD</t>
  </si>
  <si>
    <t>Bid Z Spread</t>
  </si>
  <si>
    <t>TR.BIDZSPREAD</t>
  </si>
  <si>
    <t>Bid Z Spread. The difference in basis points required to make the bond perform to par (to be used for Bid-side quote)</t>
  </si>
  <si>
    <t>ADJ_ASKPRC</t>
  </si>
  <si>
    <t>Adjusted Ask Price</t>
  </si>
  <si>
    <t>TR.ADJUSTEDASKPRICE</t>
  </si>
  <si>
    <t>Adjusted Ask price</t>
  </si>
  <si>
    <t>ADJ_BIDPRC</t>
  </si>
  <si>
    <t>Adjusted Bid Price</t>
  </si>
  <si>
    <t>TR.ADJUSTEDBIDPRICE</t>
  </si>
  <si>
    <t>Adjusted Bid price</t>
  </si>
  <si>
    <t>REAL_YLDM</t>
  </si>
  <si>
    <t>Mid Real Yield</t>
  </si>
  <si>
    <t>TR.MIDREALYIELD</t>
  </si>
  <si>
    <t xml:space="preserve">The real mid yield is the annualised rate of return earned by holding an inflation linked security to maturity in addition to a compensation for inflation.  </t>
  </si>
  <si>
    <t>INT_BEI</t>
  </si>
  <si>
    <t>Interpolated Breakeven Inflation</t>
  </si>
  <si>
    <t>TR.INTERPOLATEDBREAKEVENINFLATION</t>
  </si>
  <si>
    <t>Interpolated breakeven inflation for Index-linked bond</t>
  </si>
  <si>
    <t>FI_Bonds_STR</t>
  </si>
  <si>
    <t>BMK_SPD</t>
  </si>
  <si>
    <t>Benchmark Spread</t>
  </si>
  <si>
    <t>TR.BENCHMARKSPREAD</t>
  </si>
  <si>
    <t>The spread in basis points between the yield on a bond and it's nearest benchmark.</t>
  </si>
  <si>
    <t>MID_SPREAD</t>
  </si>
  <si>
    <t>Mid Spread</t>
  </si>
  <si>
    <t>TR.MIDSPREAD</t>
  </si>
  <si>
    <t>Difference in basis point using a mid yield value</t>
  </si>
  <si>
    <t>TOT_ISSUES</t>
  </si>
  <si>
    <t>Total Issues</t>
  </si>
  <si>
    <t>TR.TOTALISSUES</t>
  </si>
  <si>
    <t>The number of issues which have traded today.</t>
  </si>
  <si>
    <t>SWAP_SPRD</t>
  </si>
  <si>
    <t>Swap Spread</t>
  </si>
  <si>
    <t>TR.SWAPSPREAD</t>
  </si>
  <si>
    <t>Swap Spread.</t>
  </si>
  <si>
    <t>TRDVOL_1</t>
  </si>
  <si>
    <t>Trade Volume</t>
  </si>
  <si>
    <t>TR.TRADEVOL</t>
  </si>
  <si>
    <t>Number of shares, lots or contracts  traded in the most recent transaction, the transaction price reported in TRDPRC_1.</t>
  </si>
  <si>
    <t>CONVEXITY</t>
  </si>
  <si>
    <t>Convexity</t>
  </si>
  <si>
    <t>TR.CONVEXITY</t>
  </si>
  <si>
    <t>A measure of the sensitivity of a bond's price to a change in yield. The calculation is derived from the difference between a straight line and a convex curve.</t>
  </si>
  <si>
    <t>BPV</t>
  </si>
  <si>
    <t>Basis Point Value</t>
  </si>
  <si>
    <t>TR.BASISPOINTVALUE</t>
  </si>
  <si>
    <t>Change in price with a 1 basis point change in yield</t>
  </si>
  <si>
    <t>OAS_BID</t>
  </si>
  <si>
    <t>Option Adjusted Spread Bid</t>
  </si>
  <si>
    <t>TR.OPTIONADJUSTEDSPREADBID</t>
  </si>
  <si>
    <t>DAYS_MAT</t>
  </si>
  <si>
    <t>Days to Maturity</t>
  </si>
  <si>
    <t>TR.DAYSTOMATURITY</t>
  </si>
  <si>
    <t>The Number of days to maturity ("countdown") for an instrument.</t>
  </si>
  <si>
    <t>STD_DEV</t>
  </si>
  <si>
    <t>Standard Deviation</t>
  </si>
  <si>
    <t>TR.STANDARDDEVIATION</t>
  </si>
  <si>
    <t>Standard deviation of bids for tranches included in the index.</t>
  </si>
  <si>
    <t>SWAP_SPRDB</t>
  </si>
  <si>
    <t>Swap Spread Bid</t>
  </si>
  <si>
    <t>TR.SWAPSPREADBID</t>
  </si>
  <si>
    <t>The spread in basis points on bid side between the assets compared in the swap deal.</t>
  </si>
  <si>
    <t>BID_H_SPD</t>
  </si>
  <si>
    <t xml:space="preserve">Bid High Spread </t>
  </si>
  <si>
    <t>TR.BIDHIGHSPREAD</t>
  </si>
  <si>
    <t xml:space="preserve">Bid High spread </t>
  </si>
  <si>
    <t>BID_L_SPD</t>
  </si>
  <si>
    <t xml:space="preserve">Bid Low Spread </t>
  </si>
  <si>
    <t>TR.BIDLOWSPREAD</t>
  </si>
  <si>
    <t xml:space="preserve">Bid Low spread </t>
  </si>
  <si>
    <t>BID_O_SPD</t>
  </si>
  <si>
    <t xml:space="preserve">Bid Open Spread </t>
  </si>
  <si>
    <t>TR.BIDOPENSPREAD</t>
  </si>
  <si>
    <t xml:space="preserve">Bid Open spread </t>
  </si>
  <si>
    <t>REF_YIELD</t>
  </si>
  <si>
    <t>Reference Yield</t>
  </si>
  <si>
    <t>TR.REFERENCEYIELD</t>
  </si>
  <si>
    <t>Simple yield of reference bond.</t>
  </si>
  <si>
    <t>CM_YLD</t>
  </si>
  <si>
    <t>Constant Maturity Yield</t>
  </si>
  <si>
    <t>TR.CONSTANTMATURITYYIELD</t>
  </si>
  <si>
    <t>ASK_CL_SPD</t>
  </si>
  <si>
    <t>Close Ask Spread</t>
  </si>
  <si>
    <t>TR.CLOSEASKSPREAD</t>
  </si>
  <si>
    <t>Ask Close spread</t>
  </si>
  <si>
    <t>ASK_H_SPD</t>
  </si>
  <si>
    <t xml:space="preserve">Ask High Spread </t>
  </si>
  <si>
    <t>TR.ASKHIGHSPREAD</t>
  </si>
  <si>
    <t xml:space="preserve">Ask High spread </t>
  </si>
  <si>
    <t>ASK_L_SPD</t>
  </si>
  <si>
    <t>Ask Low Spread</t>
  </si>
  <si>
    <t>TR.ASKLOWSPREAD</t>
  </si>
  <si>
    <t>Ask Low spread</t>
  </si>
  <si>
    <t>ASK_O_SPD</t>
  </si>
  <si>
    <t xml:space="preserve">Ask Open Spread </t>
  </si>
  <si>
    <t>TR.ASKOPENSPREAD</t>
  </si>
  <si>
    <t xml:space="preserve">Ask Open spread </t>
  </si>
  <si>
    <t>BID_CL_SPD</t>
  </si>
  <si>
    <t>Close Bid Spread</t>
  </si>
  <si>
    <t>TR.CLOSEBIDSPREAD</t>
  </si>
  <si>
    <t xml:space="preserve">Bid close spread </t>
  </si>
  <si>
    <t>TOT_VOLUME</t>
  </si>
  <si>
    <t>Total Volume</t>
  </si>
  <si>
    <t>TR.TOTALVOLUME</t>
  </si>
  <si>
    <t>Today's total market volume.</t>
  </si>
  <si>
    <t>YLD_NETCHG</t>
  </si>
  <si>
    <t>Yield Net Change</t>
  </si>
  <si>
    <t>TR.YIELDNETCHANGE</t>
  </si>
  <si>
    <t>The net change of the current real-time yield from the historic closing yield. This field is cleared during the pre-market clear.</t>
  </si>
  <si>
    <t>LOWER_SPRD</t>
  </si>
  <si>
    <t>Lower Spread</t>
  </si>
  <si>
    <t>TR.LOWERSPREAD</t>
  </si>
  <si>
    <t>Lower spread value.</t>
  </si>
  <si>
    <t>UPPER_SPRD</t>
  </si>
  <si>
    <t>Upper Spread</t>
  </si>
  <si>
    <t>TR.UPPERSPREAD</t>
  </si>
  <si>
    <t>Upper spread value.</t>
  </si>
  <si>
    <t>CURR_WAM</t>
  </si>
  <si>
    <t>Current Weighted Average Maturity</t>
  </si>
  <si>
    <t>TR.CURRENTWEIGHTEDAVERAGEMATURITY</t>
  </si>
  <si>
    <t>Current Weighted Average Maturity. The weighted average of the remaining terms to maturity.</t>
  </si>
  <si>
    <t>POOL_FACTR</t>
  </si>
  <si>
    <t>Pool Factor</t>
  </si>
  <si>
    <t>TR.POOLFACTOR</t>
  </si>
  <si>
    <t>Pool Factor. The ratio of the current principal balance to its original principal balance  expressed as a decimal.</t>
  </si>
  <si>
    <t>OAS</t>
  </si>
  <si>
    <t>Option Adjusted Spread</t>
  </si>
  <si>
    <t>TR.OPTIONADJUSTEDSPREAD</t>
  </si>
  <si>
    <t>Option-adjusted spread.</t>
  </si>
  <si>
    <t>AVG_LIFE</t>
  </si>
  <si>
    <t>Average Life</t>
  </si>
  <si>
    <t>TR.AVERAGELIFE</t>
  </si>
  <si>
    <t>Average Life. The average number of years to repayment of principal.</t>
  </si>
  <si>
    <t>PSA</t>
  </si>
  <si>
    <t>PSA Mortgage Prepayment Speed</t>
  </si>
  <si>
    <t>TR.PSAMORTGAGEPREPAYMENTSPEED</t>
  </si>
  <si>
    <t>PSA mortgage prepayment speed.</t>
  </si>
  <si>
    <t>CPR</t>
  </si>
  <si>
    <t>Constant Prepayment Rate</t>
  </si>
  <si>
    <t>TR.CONSTANTPREPAYMENTRATE</t>
  </si>
  <si>
    <t>Constant Prepayment Rate. The percentage of the mortgage balance outstanding for the previous month.</t>
  </si>
  <si>
    <t>FAIR_VALUE</t>
  </si>
  <si>
    <t>Fair Value</t>
  </si>
  <si>
    <t>TR.FAIRVALUE</t>
  </si>
  <si>
    <t>Fair value.  This is a value derived from the appropriate mathematical equation.</t>
  </si>
  <si>
    <t>DISC_RATE</t>
  </si>
  <si>
    <t>Discount Rate</t>
  </si>
  <si>
    <t>TR.DISCOUNTRATE</t>
  </si>
  <si>
    <t>Discount rate</t>
  </si>
  <si>
    <t>BMK_SPD2</t>
  </si>
  <si>
    <t>Second Benchmark Spread</t>
  </si>
  <si>
    <t>TR.SECONDBENCHMARKSPREAD</t>
  </si>
  <si>
    <t>Benchmark Spread 2</t>
  </si>
  <si>
    <t>VWAP_YLD</t>
  </si>
  <si>
    <t>Volume Weighted Average Yield</t>
  </si>
  <si>
    <t>TR.VOLUMEWEIGHTEDAVERAGEYIELD</t>
  </si>
  <si>
    <t>Volume weighted average yield price.</t>
  </si>
  <si>
    <t>MTMPRC_1</t>
  </si>
  <si>
    <t xml:space="preserve">Mark to Market Price 1 </t>
  </si>
  <si>
    <t>TR.MARKTOMARKETPRICE1</t>
  </si>
  <si>
    <t xml:space="preserve">Mark-to-market price of a bond from a local bond pricing company. Not rippled. </t>
  </si>
  <si>
    <t>MTMPRC_2</t>
  </si>
  <si>
    <t>Mark to Market Price 2</t>
  </si>
  <si>
    <t>TR.MARKTOMARKETPRICE2</t>
  </si>
  <si>
    <t>MTMPRC_3</t>
  </si>
  <si>
    <t>Mark to Market Price 3</t>
  </si>
  <si>
    <t>TR.MARKTOMARKETPRICE3</t>
  </si>
  <si>
    <t>MTMYLD_1</t>
  </si>
  <si>
    <t>Mark to Market Yield 1</t>
  </si>
  <si>
    <t>TR.MARKTOMARKETYIELD1</t>
  </si>
  <si>
    <t>Mark-to-market yield of a bond from a local bond pricing company. Not rippled.</t>
  </si>
  <si>
    <t>MTMYLD_2</t>
  </si>
  <si>
    <t>Mark to Market Yield 2</t>
  </si>
  <si>
    <t>TR.MARKTOMARKETYIELD2</t>
  </si>
  <si>
    <t>MTMYLD_3</t>
  </si>
  <si>
    <t>Mark to Market Yield 3</t>
  </si>
  <si>
    <t>TR.MARKTOMARKETYIELD3</t>
  </si>
  <si>
    <t>PARWTD_CPN</t>
  </si>
  <si>
    <t>Weighted Average Coupon Using Par Value</t>
  </si>
  <si>
    <t>TR.WEIGHTEDAVERAGECOUPONUSINGPARVALUE</t>
  </si>
  <si>
    <t>Weighted Average Coupon of instruments in an index using Par value.</t>
  </si>
  <si>
    <t>OA_CONVX</t>
  </si>
  <si>
    <t>Option Adjusted Convexity</t>
  </si>
  <si>
    <t>TR.OPTIONADJUSTEDCONVEXITY</t>
  </si>
  <si>
    <t xml:space="preserve">Field to show the option adjusted convexity </t>
  </si>
  <si>
    <t>MOD_CONVX</t>
  </si>
  <si>
    <t>Modified Convexity</t>
  </si>
  <si>
    <t>TR.MODIFIEDCONVEXITY</t>
  </si>
  <si>
    <t>Modified Convexity of an instrument.</t>
  </si>
  <si>
    <t>ZR_OAS_PRC</t>
  </si>
  <si>
    <t>Zero Option Adjusted Price</t>
  </si>
  <si>
    <t>TR.ZEROOPTIONADJUSTEDPRICE</t>
  </si>
  <si>
    <t>Zero option adjusted price.</t>
  </si>
  <si>
    <t>OA_PVBP</t>
  </si>
  <si>
    <t>Option Adjusted Price Value Basis Point</t>
  </si>
  <si>
    <t>TR.OPTIONADJUSTEDPRICEVALUEBASISPOINT</t>
  </si>
  <si>
    <t>Option Adjusted Price Value Basis Point.</t>
  </si>
  <si>
    <t>OA_PVBP_CV</t>
  </si>
  <si>
    <t>Option Adjusted Price Value Basis Point Conversion</t>
  </si>
  <si>
    <t>TR.OPTIONADJUSTEDPRICEVALUEBASISPOINTCONVERSION</t>
  </si>
  <si>
    <t>Option Adjusted Price Value Basis Point Conversion.</t>
  </si>
  <si>
    <t>OPT_FR_YLD</t>
  </si>
  <si>
    <t>Option Free Yield</t>
  </si>
  <si>
    <t>TR.OPTIONFREEYIELD</t>
  </si>
  <si>
    <t>OA_DURTN</t>
  </si>
  <si>
    <t>Option Adjusted Duration</t>
  </si>
  <si>
    <t>TR.OPTIONADJUSTEDDURATION</t>
  </si>
  <si>
    <t>M_OA_DURTN</t>
  </si>
  <si>
    <t>Modified Option Adjusted Duration</t>
  </si>
  <si>
    <t>TR.MODIFIEDOPTIONADJUSTEDDURATION</t>
  </si>
  <si>
    <t>M_OA_CONVX</t>
  </si>
  <si>
    <t>Modified Option Adjusted Convexity</t>
  </si>
  <si>
    <t>TR.MODIFIEDOPTIONADJUSTEDCONVEXITY</t>
  </si>
  <si>
    <t>REF_OAS</t>
  </si>
  <si>
    <t>Reference Option Adjusted Spread Price</t>
  </si>
  <si>
    <t>TR.REFERENCEOPTIONADJUSTEDSPREADPRICE</t>
  </si>
  <si>
    <t>Reference Opt Adjusted Spread Price</t>
  </si>
  <si>
    <t>REF_OA_SPD</t>
  </si>
  <si>
    <t>Reference Option Adjusted Spread</t>
  </si>
  <si>
    <t>TR.REFERENCEOPTIONADJUSTEDSPREAD</t>
  </si>
  <si>
    <t>Reference Opt Adjusted Spread</t>
  </si>
  <si>
    <t>PRVPRE_RT1</t>
  </si>
  <si>
    <t>Previous Prepayment Rate</t>
  </si>
  <si>
    <t>TR.PREVIOUSPREPAYMENTRATE</t>
  </si>
  <si>
    <t>Previous Prepayment Rate 1</t>
  </si>
  <si>
    <t>OPEN_DISC</t>
  </si>
  <si>
    <t>Open Discount</t>
  </si>
  <si>
    <t>TR.OPENDISCOUNT</t>
  </si>
  <si>
    <t>Today's opening Discount Price</t>
  </si>
  <si>
    <t>HIGH_DISC</t>
  </si>
  <si>
    <t>High Discount</t>
  </si>
  <si>
    <t>TR.HIGHDISCOUNT</t>
  </si>
  <si>
    <t>Today's highest Discount traded</t>
  </si>
  <si>
    <t>LOW_DISC</t>
  </si>
  <si>
    <t>Low Discount</t>
  </si>
  <si>
    <t>TR.LOWDISCOUNT</t>
  </si>
  <si>
    <t>Today's lowest Discount traded</t>
  </si>
  <si>
    <t>WALA</t>
  </si>
  <si>
    <t>Weighted Average Loan Age</t>
  </si>
  <si>
    <t>TR.WEIGHTEDAVERAGELOANAGE</t>
  </si>
  <si>
    <t>Weighted average loan age</t>
  </si>
  <si>
    <t>TRD_YLD1</t>
  </si>
  <si>
    <t>Close Yield</t>
  </si>
  <si>
    <t>TR.CLOSEYIELD</t>
  </si>
  <si>
    <t>Yield of the Most recent last trade</t>
  </si>
  <si>
    <t>AVG_BUY_Y</t>
  </si>
  <si>
    <t>Average Buy Yield</t>
  </si>
  <si>
    <t>TR.AVERAGEBUYYIELD</t>
  </si>
  <si>
    <t>Average yield for buy side transactions.</t>
  </si>
  <si>
    <t>AVG_ID_SEL</t>
  </si>
  <si>
    <t>Average Price for Inter Dealer Trades</t>
  </si>
  <si>
    <t>TR.AVERAGEPRICEFORINTERDEALERTRADES</t>
  </si>
  <si>
    <t>Average price for the inter-dealer trades</t>
  </si>
  <si>
    <t>AVG_ID_SYD</t>
  </si>
  <si>
    <t>Average Yield for Inter Dealer Trades</t>
  </si>
  <si>
    <t>TR.AVERAGEYIELDFORINTERDEALERTRADES</t>
  </si>
  <si>
    <t>Average yield for the inter-dealer trades</t>
  </si>
  <si>
    <t>AVG_SELL_Y</t>
  </si>
  <si>
    <t>Average Sell Yield</t>
  </si>
  <si>
    <t>TR.AVERAGESELLYIELD</t>
  </si>
  <si>
    <t>Average yield for sell or ask side transactions.</t>
  </si>
  <si>
    <t>AVG_VOL</t>
  </si>
  <si>
    <t>Average Trade Volume</t>
  </si>
  <si>
    <t>TR.AVERAGETRADEVOLUME</t>
  </si>
  <si>
    <t>Today's average trade volume</t>
  </si>
  <si>
    <t>OIS_SPREAD</t>
  </si>
  <si>
    <t>Overnight Indexed Swap OIS Spread</t>
  </si>
  <si>
    <t>TR.OVERNIGHTINDEXEDSWAPOISSPREAD</t>
  </si>
  <si>
    <t xml:space="preserve">The OIS spread is the difference between the bond yield mid and the OIS mid rate. </t>
  </si>
  <si>
    <t>THEO_YLD</t>
  </si>
  <si>
    <t>Theoretical Yield</t>
  </si>
  <si>
    <t>TR.THEORETICALYIELD</t>
  </si>
  <si>
    <t>TED_SPREAD</t>
  </si>
  <si>
    <t>TED Spread</t>
  </si>
  <si>
    <t>TR.TEDSPREAD</t>
  </si>
  <si>
    <t xml:space="preserve">The difference (in basis points), between the YTM of a hypothetical bond with identical coupons and maturity. The actual bonds cash flows are discounted </t>
  </si>
  <si>
    <t>BID_H_DISC</t>
  </si>
  <si>
    <t>High Bid Discount</t>
  </si>
  <si>
    <t>TR.HIGHBIDDISCOUNT</t>
  </si>
  <si>
    <t>Bid Discount High value</t>
  </si>
  <si>
    <t>BID_L_DISC</t>
  </si>
  <si>
    <t>Low Bid Discount</t>
  </si>
  <si>
    <t>TR.LOWBIDDISCOUNT</t>
  </si>
  <si>
    <t>Bid Discount Low value</t>
  </si>
  <si>
    <t>BID_O_DISC</t>
  </si>
  <si>
    <t>Open Bid Discount</t>
  </si>
  <si>
    <t>TR.OPENBIDDISCOUNT</t>
  </si>
  <si>
    <t>Bid Discount Open value</t>
  </si>
  <si>
    <t>AVG_MTMYLD</t>
  </si>
  <si>
    <t>Average Mark to market Yield</t>
  </si>
  <si>
    <t>TR.AVERAGEMARKTOMARKETYIELD</t>
  </si>
  <si>
    <t>Average of mark-to-market yield</t>
  </si>
  <si>
    <t>AVG_MTMPRC</t>
  </si>
  <si>
    <t>Average Mark to Market Price</t>
  </si>
  <si>
    <t>TR.AVERAGEMARKTOMARKETPRICE</t>
  </si>
  <si>
    <t>Average of mark-to-market price</t>
  </si>
  <si>
    <t>MEDN_CMPYD</t>
  </si>
  <si>
    <t>Median Compound Yield</t>
  </si>
  <si>
    <t>TR.MEDIANCOMPOUNDYIELD</t>
  </si>
  <si>
    <t>The Median value calculated on Compound Yield</t>
  </si>
  <si>
    <t>MEDN_SMPYD</t>
  </si>
  <si>
    <t>Median Simple Yield</t>
  </si>
  <si>
    <t>TR.MEDIANSIMPLEYIELD</t>
  </si>
  <si>
    <t>The Median value calculated on Simple Yield</t>
  </si>
  <si>
    <t>HIGH_CMPYD</t>
  </si>
  <si>
    <t>High Compound Yield</t>
  </si>
  <si>
    <t>TR.HIGHCOMPOUNDYIELD</t>
  </si>
  <si>
    <t>HIGH_SMPYD</t>
  </si>
  <si>
    <t>High Simple Yield</t>
  </si>
  <si>
    <t>TR.HIGHSIMPLEYIELD</t>
  </si>
  <si>
    <t>LOW_CMPYD</t>
  </si>
  <si>
    <t>Low Compound Yield</t>
  </si>
  <si>
    <t>TR.LOWCOMPOUNDYIELD</t>
  </si>
  <si>
    <t>LOW_SMPYD</t>
  </si>
  <si>
    <t>Low Simple Yield</t>
  </si>
  <si>
    <t>TR.LOWSIMPLEYIELD</t>
  </si>
  <si>
    <t>CMP_YLD_M</t>
  </si>
  <si>
    <t>Mid Compound Yield</t>
  </si>
  <si>
    <t>TR.MIDCOMPOUNDYIELD</t>
  </si>
  <si>
    <t>Mid compound yield</t>
  </si>
  <si>
    <t>OPEN_AYLD</t>
  </si>
  <si>
    <t>Open Ask Yield</t>
  </si>
  <si>
    <t>TR.OPENASKYIELD</t>
  </si>
  <si>
    <t>The opening ask yield of the day</t>
  </si>
  <si>
    <t>HIGH_AYLD</t>
  </si>
  <si>
    <t>High Ask Yield</t>
  </si>
  <si>
    <t>TR.HIGHASKYIELD</t>
  </si>
  <si>
    <t>The highest ask yield of the day</t>
  </si>
  <si>
    <t>LOW_AYLD</t>
  </si>
  <si>
    <t>Low Ask Yield</t>
  </si>
  <si>
    <t>TR.LOWASKYIELD</t>
  </si>
  <si>
    <t>The lowest ask yield of the day</t>
  </si>
  <si>
    <t>REMPRN_BAL</t>
  </si>
  <si>
    <t>Remaining Principal Balance</t>
  </si>
  <si>
    <t>TR.REMAININGPRINCIPALBALANCE</t>
  </si>
  <si>
    <t>Remaining principal balance</t>
  </si>
  <si>
    <t>ISSAMT_UNS</t>
  </si>
  <si>
    <t>Issue Amount</t>
  </si>
  <si>
    <t>TR.ISSUEAMOUNT</t>
  </si>
  <si>
    <t>Un-scaled the total amount of debt instruments issued under a single issue.</t>
  </si>
  <si>
    <t>FI_CRD</t>
  </si>
  <si>
    <t>CARRY_COST</t>
  </si>
  <si>
    <t>Carry Cost</t>
  </si>
  <si>
    <t>TR.CARRYCOST</t>
  </si>
  <si>
    <t>Carry cost.</t>
  </si>
  <si>
    <t>CRD_TOTAL</t>
  </si>
  <si>
    <t>Carry Roll-down Total</t>
  </si>
  <si>
    <t>TR.CARRYROLLDOWNTOTAL</t>
  </si>
  <si>
    <t>CRD Total</t>
  </si>
  <si>
    <t>ROLL_DOWN</t>
  </si>
  <si>
    <t>Roll-down</t>
  </si>
  <si>
    <t>TR.ROLLDOWN</t>
  </si>
  <si>
    <t>FI_Loans</t>
  </si>
  <si>
    <t>DSC_SPREAD</t>
  </si>
  <si>
    <t>Discount Spread</t>
  </si>
  <si>
    <t>TR.DISCOUNTSPREAD</t>
  </si>
  <si>
    <t>The Discount Spread for a Cash Loan.</t>
  </si>
  <si>
    <t>LOANSPD18M</t>
  </si>
  <si>
    <t>18 Month Loan Spread</t>
  </si>
  <si>
    <t>TR.18MONTHLOANSPREAD</t>
  </si>
  <si>
    <t>18 Month Loan Spread for a Cash Loan</t>
  </si>
  <si>
    <t>LOANSPRD3Y</t>
  </si>
  <si>
    <t>3 Year Load Spread</t>
  </si>
  <si>
    <t>TR.3YEARLOADSPREAD</t>
  </si>
  <si>
    <t>3 year Loan Spread for a Cash Loan.</t>
  </si>
  <si>
    <t>LOANSPRD4Y</t>
  </si>
  <si>
    <t>4 Year Load Spread</t>
  </si>
  <si>
    <t>TR.4YEARLOADSPREAD</t>
  </si>
  <si>
    <t>4 year Loan Spread for a Cash Loan.</t>
  </si>
  <si>
    <t>LOANSPRD5Y</t>
  </si>
  <si>
    <t>5 Year Load Spread</t>
  </si>
  <si>
    <t>TR.5YEARLOADSPREAD</t>
  </si>
  <si>
    <t>5 year Loan Spread for a Cash Loan.</t>
  </si>
  <si>
    <t>LOAN_SPD</t>
  </si>
  <si>
    <t>Loan Spread</t>
  </si>
  <si>
    <t>TR.LOANSPREAD</t>
  </si>
  <si>
    <t>Basis point spread between interest rate on a loan and the base rate</t>
  </si>
  <si>
    <t>LOAN_SPD_A</t>
  </si>
  <si>
    <t>Ask Loan Spread</t>
  </si>
  <si>
    <t>TR.ASKLOANSPREAD</t>
  </si>
  <si>
    <t>Basis point spread between interest rate on a loan and the base rate using ask yield</t>
  </si>
  <si>
    <t>LOAN_SPD_B</t>
  </si>
  <si>
    <t>Bid Loan Spread</t>
  </si>
  <si>
    <t>TR.BIDLOANSPREAD</t>
  </si>
  <si>
    <t>Basis point spread between interest rate on a loan and the base rate using bid yield</t>
  </si>
  <si>
    <t>FI_YC_Derived</t>
  </si>
  <si>
    <t>DEFLT_PROB</t>
  </si>
  <si>
    <t>Default Probability</t>
  </si>
  <si>
    <t>TR.DEFAULTPROBABILITY</t>
  </si>
  <si>
    <t>% value indicating the liklyhood the issuer will default on its debt obligations.</t>
  </si>
  <si>
    <t>H_DSCTFACT</t>
  </si>
  <si>
    <t>High Discount Factor</t>
  </si>
  <si>
    <t>TR.HIGHDISCOUNTFACTOR</t>
  </si>
  <si>
    <t>HIGH_ZYLD</t>
  </si>
  <si>
    <t>High Zero Yield</t>
  </si>
  <si>
    <t>L_DSCTFACT</t>
  </si>
  <si>
    <t>Low Discount Factor</t>
  </si>
  <si>
    <t>LOW_ZYLD</t>
  </si>
  <si>
    <t>Low Zero Yield</t>
  </si>
  <si>
    <t>O_DSCTFACT</t>
  </si>
  <si>
    <t>Open Discount Factor</t>
  </si>
  <si>
    <t>OPEN_ZYLD</t>
  </si>
  <si>
    <t>Open Zero Yield</t>
  </si>
  <si>
    <t>ZERO_YLD1</t>
  </si>
  <si>
    <t>Zero Yield</t>
  </si>
  <si>
    <t>TR.ZEROYIELD</t>
  </si>
  <si>
    <t>Rippled calculated yield value for a zero coupon interest rate against time to maturity.</t>
  </si>
  <si>
    <t>DSCT_FACT</t>
  </si>
  <si>
    <t>Discount Factor</t>
  </si>
  <si>
    <t>TR.DISCOUNTFACTOR</t>
  </si>
  <si>
    <t xml:space="preserve">Discount factor (e.g., COMP_INTEREST, EXPONENTIAL, SIMPLE). </t>
  </si>
  <si>
    <t>ANN_BID</t>
  </si>
  <si>
    <t>Annualized Ask Price</t>
  </si>
  <si>
    <t>ANN_ASK</t>
  </si>
  <si>
    <t>Annualized Bid Price</t>
  </si>
  <si>
    <t>BASE_CORR</t>
  </si>
  <si>
    <t>Base Correlation</t>
  </si>
  <si>
    <t>CORR_30D</t>
  </si>
  <si>
    <t>CDS 30 Days Correlation</t>
  </si>
  <si>
    <t>CORR_60D</t>
  </si>
  <si>
    <t>CDS 60 Days Correlation</t>
  </si>
  <si>
    <t>CLS_PYLD</t>
  </si>
  <si>
    <t>Close Par Yield</t>
  </si>
  <si>
    <t>C_SHORT_RT</t>
  </si>
  <si>
    <t>Close Short Rate</t>
  </si>
  <si>
    <t>CV_MSPD100</t>
  </si>
  <si>
    <t>Convention Mid Spread 100 Coupon</t>
  </si>
  <si>
    <t>CV_MSPD25</t>
  </si>
  <si>
    <t>Convention Mid Spread 25 Coupon</t>
  </si>
  <si>
    <t>CV_MSPD500</t>
  </si>
  <si>
    <t>Convention Mid Spread 500 Coupon</t>
  </si>
  <si>
    <t>HIGH_PYLD</t>
  </si>
  <si>
    <t>High Par Yield</t>
  </si>
  <si>
    <t>H_SHORT_RT</t>
  </si>
  <si>
    <t>High Short Rate</t>
  </si>
  <si>
    <t>FWDYLD_IMP</t>
  </si>
  <si>
    <t>Implied Forward Yield</t>
  </si>
  <si>
    <t>LOW_PYLD</t>
  </si>
  <si>
    <t>Low Par Yield</t>
  </si>
  <si>
    <t>L_SHORT_RT</t>
  </si>
  <si>
    <t>Low Short Rate</t>
  </si>
  <si>
    <t>MID_PREM</t>
  </si>
  <si>
    <t>Mid Price Premium</t>
  </si>
  <si>
    <t>MID_STRIKE</t>
  </si>
  <si>
    <t>Mid Strike Price</t>
  </si>
  <si>
    <t>UPF25MID</t>
  </si>
  <si>
    <t>Mid Upfront 25 Coupon</t>
  </si>
  <si>
    <t>OPEN_PYLD</t>
  </si>
  <si>
    <t>Open Par Yield</t>
  </si>
  <si>
    <t>O_SHORT_RT</t>
  </si>
  <si>
    <t>Open Short Rate</t>
  </si>
  <si>
    <t>PAR_MID1</t>
  </si>
  <si>
    <t>Par Mid Spread</t>
  </si>
  <si>
    <t>RATING_SPD</t>
  </si>
  <si>
    <t>Spread Over Rating</t>
  </si>
  <si>
    <t>SECTOR_SPD</t>
  </si>
  <si>
    <t>Spread Over Sector</t>
  </si>
  <si>
    <t>SUBSEC_SPD</t>
  </si>
  <si>
    <t>Spread Over Sub Sector</t>
  </si>
  <si>
    <t>SHORT_RATE</t>
  </si>
  <si>
    <t>Short Rate</t>
  </si>
  <si>
    <t>TR.SHORTRATE</t>
  </si>
  <si>
    <t>Short Rate of Interest.</t>
  </si>
  <si>
    <t>AVG_MAT</t>
  </si>
  <si>
    <t>Average Maturity</t>
  </si>
  <si>
    <t>TR.AVERAGEMATURITY</t>
  </si>
  <si>
    <t>The average maturity across a maturity band in years.</t>
  </si>
  <si>
    <t>PAR_YLD1</t>
  </si>
  <si>
    <t>Par Yield</t>
  </si>
  <si>
    <t>TR.PARYIELD</t>
  </si>
  <si>
    <t>Rippled calculated yield value when theoretically the price of the instrument always equals the Par amount (eg 100).</t>
  </si>
  <si>
    <t>ZR_RTN_IDX</t>
  </si>
  <si>
    <t>Zero Reinvestment Index</t>
  </si>
  <si>
    <t>TR.ZEROREINVESTMENTINDEX</t>
  </si>
  <si>
    <t>Reinvestment index based on zero interest rate</t>
  </si>
  <si>
    <t>Financial_Indices</t>
  </si>
  <si>
    <t>ISSUES_ADV</t>
  </si>
  <si>
    <t>Issues Advanced</t>
  </si>
  <si>
    <t>TR.ISSUESADVANCED</t>
  </si>
  <si>
    <t>Number of issues which have advanced today.</t>
  </si>
  <si>
    <t>ISSUES_DEC</t>
  </si>
  <si>
    <t>Issues Declined</t>
  </si>
  <si>
    <t>TR.ISSUESDECLINED</t>
  </si>
  <si>
    <t>Number of issues which have declined today.</t>
  </si>
  <si>
    <t>MKT_VALUE</t>
  </si>
  <si>
    <t>Market Capitalization</t>
  </si>
  <si>
    <t>TR.MARKETCAPITALIZATION</t>
  </si>
  <si>
    <t>Primary shares equivalent issue  amount x Last Price, the Market Capitalization of a security.  This is a decimal version of the integer type MKT_CAP field (#2744)</t>
  </si>
  <si>
    <t>THEO_OPEN</t>
  </si>
  <si>
    <t>Theoretical Open</t>
  </si>
  <si>
    <t>TR.THEORETICALOPEN</t>
  </si>
  <si>
    <t>Theoretical open. Initially used for Dow Jones Indices.</t>
  </si>
  <si>
    <t>SHRS_IDX</t>
  </si>
  <si>
    <t>Number of Listed Shares</t>
  </si>
  <si>
    <t>TR.NUMBEROFLISTEDSHARES</t>
  </si>
  <si>
    <t>Number of Listed Shares for Calculation of Indices</t>
  </si>
  <si>
    <t>NUM_STOCKS</t>
  </si>
  <si>
    <t>Number Of Stocks</t>
  </si>
  <si>
    <t>TR.NUMBEROFSTOCKS</t>
  </si>
  <si>
    <t>PCT1M</t>
  </si>
  <si>
    <t>1 Month Percentage Change</t>
  </si>
  <si>
    <t>TR.1MONTHPERCENTAGECHANGE</t>
  </si>
  <si>
    <t>Percentage change of current close price comparing to 1 month historic close</t>
  </si>
  <si>
    <t>TOT_RETURN</t>
  </si>
  <si>
    <t>Total Return Yield</t>
  </si>
  <si>
    <t>TR.TOTALRETURNYIELD</t>
  </si>
  <si>
    <t>Total return yield data calculated for bonds</t>
  </si>
  <si>
    <t>EARN_YIELD</t>
  </si>
  <si>
    <t>Eaning Yield</t>
  </si>
  <si>
    <t>TR.EANINGYIELD</t>
  </si>
  <si>
    <t>The earnings per share for an equity or index divided by the current market price per share/</t>
  </si>
  <si>
    <t>ALLSHR_PCT</t>
  </si>
  <si>
    <t>Weighting Percentage of All Share Index</t>
  </si>
  <si>
    <t>TR.WEIGHTINGPERCENTAGEOFALLSHAREINDEX</t>
  </si>
  <si>
    <t>The weighting of an index's constituents in relation to the market's largest (or all share) index, expressed as a percentage.</t>
  </si>
  <si>
    <t>NET_RETURN</t>
  </si>
  <si>
    <t>Net Return</t>
  </si>
  <si>
    <t>TR.NETRETURN</t>
  </si>
  <si>
    <t>The index value with net dividends after applicable taxes reinvested</t>
  </si>
  <si>
    <t>IDX_DVSOR</t>
  </si>
  <si>
    <t>Index Divisor</t>
  </si>
  <si>
    <t>TR.IDXDIVISOR</t>
  </si>
  <si>
    <t>AD_RTO_25D</t>
  </si>
  <si>
    <t>25 Days Mean Advance-Decline Ratio</t>
  </si>
  <si>
    <t>TR.25DAYSMEANADVANCEDECLINERATIO</t>
  </si>
  <si>
    <t xml:space="preserve">25 days mean A-D (Advance-Decline) Ratio. </t>
  </si>
  <si>
    <t>NOM_WT_PCT</t>
  </si>
  <si>
    <t>Nominal Amount Outstanding Weighting Percentage of Market Index</t>
  </si>
  <si>
    <t>TR.NOMINALAMOUNTOUTSTANDINGWEIGHTINGPERCENTAGEOFMARKETINDEX</t>
  </si>
  <si>
    <t>Index weight percentage based on nominal amount outstanding in relation to the market or master index</t>
  </si>
  <si>
    <t>BAS_VL_UNS</t>
  </si>
  <si>
    <t>TR.UNSCALEDINDEXVALUE</t>
  </si>
  <si>
    <t>Un-scaled Index Value</t>
  </si>
  <si>
    <t>FX_Baskets</t>
  </si>
  <si>
    <t>OPEN_BID</t>
  </si>
  <si>
    <t>Open Bid Price</t>
  </si>
  <si>
    <t>TR.OPENBIDPRICE</t>
  </si>
  <si>
    <t>BID_HIGH_1</t>
  </si>
  <si>
    <t>High Bid Price</t>
  </si>
  <si>
    <t>TR.HIGHESTBIDPRICE</t>
  </si>
  <si>
    <t>Today's highest Bid price</t>
  </si>
  <si>
    <t>BID_LOW_1</t>
  </si>
  <si>
    <t>Low Bid Price</t>
  </si>
  <si>
    <t>TR.LOWBIDPRICE</t>
  </si>
  <si>
    <t>Today's lowest Bid price</t>
  </si>
  <si>
    <t>MID_HIGH</t>
  </si>
  <si>
    <t>High Mid Price</t>
  </si>
  <si>
    <t>TR.HIGHMIDPRICE</t>
  </si>
  <si>
    <t>Mid high price</t>
  </si>
  <si>
    <t>MID_LOW</t>
  </si>
  <si>
    <t>Low Mid Price</t>
  </si>
  <si>
    <t>TR.LOWMIDPRICE</t>
  </si>
  <si>
    <t>Mid low price</t>
  </si>
  <si>
    <t>MID_OPEN</t>
  </si>
  <si>
    <t>Open Mid Price</t>
  </si>
  <si>
    <t>TR.OPENMIDPRICE</t>
  </si>
  <si>
    <t>The average of Bid and Ask prices at market open</t>
  </si>
  <si>
    <t>NUM_BIDS</t>
  </si>
  <si>
    <t>Number of Bids</t>
  </si>
  <si>
    <t>TR.NUMBEROFBIDS</t>
  </si>
  <si>
    <t>The number of bids made for an instrument.</t>
  </si>
  <si>
    <t>AMERCL_ASK</t>
  </si>
  <si>
    <t>America  Close Ask Price</t>
  </si>
  <si>
    <t>TR.AMERICACLOSEASKPRICE</t>
  </si>
  <si>
    <t>Today's America Close Ask</t>
  </si>
  <si>
    <t>AMERCL_BID</t>
  </si>
  <si>
    <t>America  Close Bid Price</t>
  </si>
  <si>
    <t>TR.AMERICACLOSEBIDPRICE</t>
  </si>
  <si>
    <t>Today's America Close Bid</t>
  </si>
  <si>
    <t>AMERHI_ASK</t>
  </si>
  <si>
    <t>America  High Ask Price</t>
  </si>
  <si>
    <t>TR.AMERICAHIGHASKPRICE</t>
  </si>
  <si>
    <t>Today's America High Ask</t>
  </si>
  <si>
    <t>AMERHI_BID</t>
  </si>
  <si>
    <t>America  High Bid Price</t>
  </si>
  <si>
    <t>TR.AMERICAHIGHBIDPRICE</t>
  </si>
  <si>
    <t>Today's America High Bid</t>
  </si>
  <si>
    <t>AMERLO_ASK</t>
  </si>
  <si>
    <t>America  Low Ask Price</t>
  </si>
  <si>
    <t>TR.AMERICALOWASKPRICE</t>
  </si>
  <si>
    <t>Today's America Low Ask</t>
  </si>
  <si>
    <t>AMERLO_BID</t>
  </si>
  <si>
    <t>America  Low Bid Price</t>
  </si>
  <si>
    <t>TR.AMERICALOWBIDPRICE</t>
  </si>
  <si>
    <t>Today's America Low Bid</t>
  </si>
  <si>
    <t>AMEROP_ASK</t>
  </si>
  <si>
    <t>America  Open Ask Price</t>
  </si>
  <si>
    <t>TR.AMERICAOPENASKPRICE</t>
  </si>
  <si>
    <t>Today's America Open Ask</t>
  </si>
  <si>
    <t>AMEROP_BID</t>
  </si>
  <si>
    <t>America  Open Bid Price</t>
  </si>
  <si>
    <t>TR.AMERICAOPENBIDPRICE</t>
  </si>
  <si>
    <t>Today's America Open Bid</t>
  </si>
  <si>
    <t>ASIACL_ASK</t>
  </si>
  <si>
    <t>Asia Close Ask Price</t>
  </si>
  <si>
    <t>TR.ASIACLOSEASKPRICE</t>
  </si>
  <si>
    <t>Today's Asia Close Ask</t>
  </si>
  <si>
    <t>ASIACL_BID</t>
  </si>
  <si>
    <t>Asia Close Bid Price</t>
  </si>
  <si>
    <t>TR.ASIACLOSEBIDPRICE</t>
  </si>
  <si>
    <t>Today's Asia Close Bid</t>
  </si>
  <si>
    <t>ASIAHI_ASK</t>
  </si>
  <si>
    <t>Asia High Ask Price</t>
  </si>
  <si>
    <t>TR.ASIAHIGHASKPRICE</t>
  </si>
  <si>
    <t>Today's Asia High Ask</t>
  </si>
  <si>
    <t>ASIAHI_BID</t>
  </si>
  <si>
    <t>Asia High Bid Price</t>
  </si>
  <si>
    <t>TR.ASIAHIGHBIDPRICE</t>
  </si>
  <si>
    <t>Today's Asia High Bid</t>
  </si>
  <si>
    <t>ASIALO_ASK</t>
  </si>
  <si>
    <t>Asia Low Ask Price</t>
  </si>
  <si>
    <t>TR.ASIALOWASKPRICE</t>
  </si>
  <si>
    <t>Today's Asia Low Ask</t>
  </si>
  <si>
    <t>ASIALO_BID</t>
  </si>
  <si>
    <t>Asia Low Bid Price</t>
  </si>
  <si>
    <t>TR.ASIALOWBIDPRICE</t>
  </si>
  <si>
    <t xml:space="preserve">Today's Asia Low Bid </t>
  </si>
  <si>
    <t>ASIAOP_ASK</t>
  </si>
  <si>
    <t>Asia Open Ask Price</t>
  </si>
  <si>
    <t>TR.ASIAOPENASKPRICE</t>
  </si>
  <si>
    <t>Today's Asia Open Ask</t>
  </si>
  <si>
    <t>ASIAOP_BID</t>
  </si>
  <si>
    <t>Asia Open Bid Price</t>
  </si>
  <si>
    <t>TR.ASIAOPENBIDPRICE</t>
  </si>
  <si>
    <t>Today's Asia Open Bid</t>
  </si>
  <si>
    <t>EURCL_ASK</t>
  </si>
  <si>
    <t>Europe Close Ask Price</t>
  </si>
  <si>
    <t>TR.EUROPECLOSEASKPRICE</t>
  </si>
  <si>
    <t>Today's Europe Close Ask</t>
  </si>
  <si>
    <t>EURCL_BID</t>
  </si>
  <si>
    <t>Europe Close Bid Price</t>
  </si>
  <si>
    <t>TR.EUROPECLOSEBIDPRICE</t>
  </si>
  <si>
    <t>Today's Europe Close Bid</t>
  </si>
  <si>
    <t>EURHI_ASK</t>
  </si>
  <si>
    <t>Europe High Ask Price</t>
  </si>
  <si>
    <t>TR.EUROPEHIGHASKPRICE</t>
  </si>
  <si>
    <t>Today's Europe High Ask</t>
  </si>
  <si>
    <t>EURHI_BID</t>
  </si>
  <si>
    <t>Europe High Bid Price</t>
  </si>
  <si>
    <t>TR.EUROPEHIGHBIDPRICE</t>
  </si>
  <si>
    <t>Today's Europe High Bid</t>
  </si>
  <si>
    <t>EURLO_ASK</t>
  </si>
  <si>
    <t>Europe Low Ask Price</t>
  </si>
  <si>
    <t>TR.EUROPELOWASKPRICE</t>
  </si>
  <si>
    <t>Today's Europe Low Ask</t>
  </si>
  <si>
    <t>EURLO_BID</t>
  </si>
  <si>
    <t>Europe Low Bid Price</t>
  </si>
  <si>
    <t>TR.EUROPELOWBIDPRICE</t>
  </si>
  <si>
    <t>Today's Europe Low Bid</t>
  </si>
  <si>
    <t>EUROP_ASK</t>
  </si>
  <si>
    <t>Europe Open Ask Price</t>
  </si>
  <si>
    <t>TR.EUROPEOPENASKPRICE</t>
  </si>
  <si>
    <t>Today's Europe Open Ask</t>
  </si>
  <si>
    <t>EUROP_BID</t>
  </si>
  <si>
    <t>Europe Open Bid Price</t>
  </si>
  <si>
    <t>TR.EUROPEOPENBIDPRICE</t>
  </si>
  <si>
    <t>Today's Europe Open Bid</t>
  </si>
  <si>
    <t>ASIA_CLOSE</t>
  </si>
  <si>
    <t>Asia Closing Trade Price</t>
  </si>
  <si>
    <t>TR.ASIACLOSINGTRADEPRICE</t>
  </si>
  <si>
    <t>FX and Money close price for the Tokyo trading session</t>
  </si>
  <si>
    <t>EURO_CLOSE</t>
  </si>
  <si>
    <t>Europe Closing Trade Price</t>
  </si>
  <si>
    <t>TR.EUROPECLOSINGTRADEPRICE</t>
  </si>
  <si>
    <t>FX and Money close price for the London trading session</t>
  </si>
  <si>
    <t>AVERG_PRC</t>
  </si>
  <si>
    <t>Average Price</t>
  </si>
  <si>
    <t>TR.AVERAGEPRICE</t>
  </si>
  <si>
    <t>Contains either the non-weighted average price of all trades throughout the day or the average price of the most recent trade if that trade is bundled.</t>
  </si>
  <si>
    <t>EURO_HIGH</t>
  </si>
  <si>
    <t>Europe High Trade Price</t>
  </si>
  <si>
    <t>TR.EUROPEHIGHTRADEPRICE</t>
  </si>
  <si>
    <t>FX and Money high price for the London trading session</t>
  </si>
  <si>
    <t>EURO_LOW</t>
  </si>
  <si>
    <t>Europe Low Trade Price</t>
  </si>
  <si>
    <t>TR.EUROPELOWTRADEPRICE</t>
  </si>
  <si>
    <t>FX and Money low price for the London trading session</t>
  </si>
  <si>
    <t>EURO_OPEN</t>
  </si>
  <si>
    <t>Europe Open Trade Price</t>
  </si>
  <si>
    <t>TR.EUROPEOPENTRADEPRICE</t>
  </si>
  <si>
    <t>FX and Money open price for the London trading session</t>
  </si>
  <si>
    <t>US_CLOSE</t>
  </si>
  <si>
    <t>US Closing Trade Price</t>
  </si>
  <si>
    <t>TR.USCLOSINGTRADEPRICE</t>
  </si>
  <si>
    <t>FX and Money close price for the New York trading session</t>
  </si>
  <si>
    <t>ASIA_HIGH</t>
  </si>
  <si>
    <t>Asia High Trade Price</t>
  </si>
  <si>
    <t>TR.ASIAHIGHTRADEPRICE</t>
  </si>
  <si>
    <t>FX and Money high price for the Tokyo trading session</t>
  </si>
  <si>
    <t>ASIA_LOW</t>
  </si>
  <si>
    <t>Asia Low Trade Price</t>
  </si>
  <si>
    <t>TR.ASIALOWTRADEPRICE</t>
  </si>
  <si>
    <t>FX and Money low price for the Tokyo trading session</t>
  </si>
  <si>
    <t>ASIA_OPEN</t>
  </si>
  <si>
    <t>Asia Open Trade Price</t>
  </si>
  <si>
    <t>TR.ASIAOPENTRADEPRICE</t>
  </si>
  <si>
    <t>FX and Money open price for the Tokyo trading session</t>
  </si>
  <si>
    <t>US_HIGH</t>
  </si>
  <si>
    <t>US High Trade Price</t>
  </si>
  <si>
    <t>TR.USHIGHTRADEPRICE</t>
  </si>
  <si>
    <t>FX and Money high price for the New York trading session</t>
  </si>
  <si>
    <t>US_LOW</t>
  </si>
  <si>
    <t>US Low Trade Price</t>
  </si>
  <si>
    <t>TR.USLOWTRADEPRICE</t>
  </si>
  <si>
    <t>FX and Money low price for the New York trading session</t>
  </si>
  <si>
    <t>US_OPEN</t>
  </si>
  <si>
    <t>US Open Trade Price</t>
  </si>
  <si>
    <t>TR.USOPENTRADEPRICE</t>
  </si>
  <si>
    <t>FX and Money open price for the New York trading session</t>
  </si>
  <si>
    <t>QTE_NUMMOV</t>
  </si>
  <si>
    <t>Number of Quotations</t>
  </si>
  <si>
    <t>TR.NUMBEROFQUOTATIONS</t>
  </si>
  <si>
    <t>The number of quotations received today</t>
  </si>
  <si>
    <t>FX_FIX</t>
  </si>
  <si>
    <t>FIXING_1</t>
  </si>
  <si>
    <t>Fixing Value</t>
  </si>
  <si>
    <t>TR.FIXINGVALUE</t>
  </si>
  <si>
    <t>Fixing Price</t>
  </si>
  <si>
    <t>SCALING</t>
  </si>
  <si>
    <t>Scaling Factor</t>
  </si>
  <si>
    <t>TR.SCALINGFACTOR</t>
  </si>
  <si>
    <t>Multiplier or divisor applied to price</t>
  </si>
  <si>
    <t>FX_FWD_and_ND_FWD</t>
  </si>
  <si>
    <t>EXPIR_DATE</t>
  </si>
  <si>
    <t>Expiry Date</t>
  </si>
  <si>
    <t>TR.EXPIRYDATE</t>
  </si>
  <si>
    <t>The date on which the future, option or warrant expires.</t>
  </si>
  <si>
    <t>ASK_FWDOR</t>
  </si>
  <si>
    <t>Forward Outright Ask Price</t>
  </si>
  <si>
    <t>TR.FORWARDOUTRIGHTASKPRICE</t>
  </si>
  <si>
    <t>The forward securities sell price.</t>
  </si>
  <si>
    <t>BID_FWDOR</t>
  </si>
  <si>
    <t>Forward Outright Bid Price</t>
  </si>
  <si>
    <t>TR.FORWARDOUTRIGHTBIDPRICE</t>
  </si>
  <si>
    <t>The forward securities buy price</t>
  </si>
  <si>
    <t>FWDR_BASIS</t>
  </si>
  <si>
    <t>Forward Outright Basis Point</t>
  </si>
  <si>
    <t>TR.FORWARDOUTRIGHTBASISPOINT</t>
  </si>
  <si>
    <t xml:space="preserve">Forward outright basis point.  In an outright deal, the forward basis point used to agree the deal.   </t>
  </si>
  <si>
    <t>FX_Option_Volatility</t>
  </si>
  <si>
    <t>STRIKE_PRC</t>
  </si>
  <si>
    <t>Strike Price</t>
  </si>
  <si>
    <t>TR.STRIKEPRICE</t>
  </si>
  <si>
    <t>Strike price; the price at which an option may be exercised</t>
  </si>
  <si>
    <t>PREMIUM</t>
  </si>
  <si>
    <t>Premium</t>
  </si>
  <si>
    <t>TR.PREMIUM</t>
  </si>
  <si>
    <t>Premium/Discount Value</t>
  </si>
  <si>
    <t>IMP_CORR</t>
  </si>
  <si>
    <t>Implied Correlation</t>
  </si>
  <si>
    <t>TR.IMPLIEDCORRELATION</t>
  </si>
  <si>
    <t>SKEWNESS</t>
  </si>
  <si>
    <t>Skewness</t>
  </si>
  <si>
    <t>TR.SKEWNESS</t>
  </si>
  <si>
    <t>Indicates if a dataset is skewed to the left or right relative to a normal distribution</t>
  </si>
  <si>
    <t>KURTOSIS</t>
  </si>
  <si>
    <t>Kurtosis</t>
  </si>
  <si>
    <t>TR.KURTOSIS</t>
  </si>
  <si>
    <t>Indicates whether a dataset is peaked or flat relative to a normal distribution</t>
  </si>
  <si>
    <t>BID_PREM</t>
  </si>
  <si>
    <t>Bid Price Premium</t>
  </si>
  <si>
    <t>TR.BIDPRICEPREMIUM</t>
  </si>
  <si>
    <t>Bid price premium</t>
  </si>
  <si>
    <t>ASK_PREM</t>
  </si>
  <si>
    <t>Ask Price Premium</t>
  </si>
  <si>
    <t>TR.ASKPRICEPREMIUM</t>
  </si>
  <si>
    <t>Ask price premium</t>
  </si>
  <si>
    <t>BID_STRIKE</t>
  </si>
  <si>
    <t>Bid Strike Price</t>
  </si>
  <si>
    <t>TR.BIDSTRIKEPRICE</t>
  </si>
  <si>
    <t>Bid strike price</t>
  </si>
  <si>
    <t>ASK_STRIKE</t>
  </si>
  <si>
    <t>Ask Strike Price</t>
  </si>
  <si>
    <t>TR.ASKSTRIKEPRICE</t>
  </si>
  <si>
    <t>Ask strike price</t>
  </si>
  <si>
    <t>MONEYNESS</t>
  </si>
  <si>
    <t>Moneyness</t>
  </si>
  <si>
    <t>TR.MONEYNESS</t>
  </si>
  <si>
    <t xml:space="preserve">Indicates the moneyness of the option. </t>
  </si>
  <si>
    <t>FX_Spot_Cross</t>
  </si>
  <si>
    <t>PRD_NUMMOV</t>
  </si>
  <si>
    <t>Number of Trades during Predefined Period</t>
  </si>
  <si>
    <t>TR.NUMBEROFTRADESDURINGPREDEFINEDPERIOD</t>
  </si>
  <si>
    <t xml:space="preserve">Number of trades matched during a predefined interval/period. </t>
  </si>
  <si>
    <t>MM_DEPO_and_ST_Paper_incl_TWEB</t>
  </si>
  <si>
    <t>MM_Fixings-Swap_FRA_DEPO_REPO_IR</t>
  </si>
  <si>
    <t>PMA_10D</t>
  </si>
  <si>
    <t>10 Day Moving Average</t>
  </si>
  <si>
    <t>TR.10DAYMOVINGAVERAGE</t>
  </si>
  <si>
    <t>PMA_20D</t>
  </si>
  <si>
    <t>20 Day Moving Average</t>
  </si>
  <si>
    <t>TR.20DAYMOVINGAVERAGE</t>
  </si>
  <si>
    <t>Moving Average - Close Price - 20 Days</t>
  </si>
  <si>
    <t>PMA_5D</t>
  </si>
  <si>
    <t>5 Day Moving Average</t>
  </si>
  <si>
    <t>TR.5DAYMOVINGAVERAGE</t>
  </si>
  <si>
    <t>Price Moving Averages - 5 Days</t>
  </si>
  <si>
    <t>MM_IR_Swaps</t>
  </si>
  <si>
    <t>PV01</t>
  </si>
  <si>
    <t>Price Variation per Basis Point</t>
  </si>
  <si>
    <t>TR.PRICEVARIATIONPERBASISPOINT</t>
  </si>
  <si>
    <t>Impact on the Swap by change of 1 Basis Point</t>
  </si>
  <si>
    <t>OPEN_PRC2</t>
  </si>
  <si>
    <t>Alternate Market Open Price</t>
  </si>
  <si>
    <t>TR.ALTERNATEMARKETOPENPRICE</t>
  </si>
  <si>
    <t>A secondary open field corresponding to OPEN_PRC  for those quotation types involving more than one open field.</t>
  </si>
  <si>
    <t>ASTSWPSD_A</t>
  </si>
  <si>
    <t>Asset Swap Spread Ask</t>
  </si>
  <si>
    <t>TR.ASSETSWAPSPREADASK</t>
  </si>
  <si>
    <t>ASTSWPSD_B</t>
  </si>
  <si>
    <t>Asset Swap Spread Bid</t>
  </si>
  <si>
    <t>TR.ASSETSWAPSPREADBID</t>
  </si>
  <si>
    <t>SWAP_SPRDA</t>
  </si>
  <si>
    <t>Swap Spread Ask</t>
  </si>
  <si>
    <t>TR.SWAPSPREADASK</t>
  </si>
  <si>
    <t>The spread in basis points on ask side between the assets compared in the swap deal.</t>
  </si>
  <si>
    <t>MM_REPO</t>
  </si>
  <si>
    <t>MM_YC_Derived</t>
  </si>
  <si>
    <t>MMFX_Financial_Indices</t>
  </si>
  <si>
    <t>ISSUES_UNC</t>
  </si>
  <si>
    <t>Issues Unchanged</t>
  </si>
  <si>
    <t>TR.ISSUESUNCHANGED</t>
  </si>
  <si>
    <t>Number of issues unchanged today.</t>
  </si>
  <si>
    <t>NEW_LOWS</t>
  </si>
  <si>
    <t>New Lows</t>
  </si>
  <si>
    <t>TR.NEWLOWS</t>
  </si>
  <si>
    <t>Number of issues making a new yearly low today.</t>
  </si>
  <si>
    <t>NEW_HIGHS</t>
  </si>
  <si>
    <t>New Highs</t>
  </si>
  <si>
    <t>TR.NEWHIGHS</t>
  </si>
  <si>
    <t>Number of issues which have made a new yearly high today.</t>
  </si>
  <si>
    <t>VOLADV_UNS</t>
  </si>
  <si>
    <t>Advancing Volume</t>
  </si>
  <si>
    <t>TR.ADVANCINGVOLUME</t>
  </si>
  <si>
    <t>Un-scaled accumulated volume of issues that have advanced today.</t>
  </si>
  <si>
    <t>VOLDEC_UNS</t>
  </si>
  <si>
    <t>Declining Volume</t>
  </si>
  <si>
    <t>TR.DECLININGVOLUME</t>
  </si>
  <si>
    <t>Un-scaled accumulated volume of issues that have declined today.</t>
  </si>
  <si>
    <t>VOLUNC_UNS</t>
  </si>
  <si>
    <t>Unchanged Volume</t>
  </si>
  <si>
    <t>TR.UNCHANGEDVOLUME</t>
  </si>
  <si>
    <t>Un-scaled accumulated volume of issues that are unchanged today.</t>
  </si>
  <si>
    <t>TOT_MOVES</t>
  </si>
  <si>
    <t>Total Moves</t>
  </si>
  <si>
    <t>TR.TOTALMOVES</t>
  </si>
  <si>
    <t>The total number of moves today.</t>
  </si>
  <si>
    <t>ADV_DEC_RT</t>
  </si>
  <si>
    <t>Advance Decline Ratio</t>
  </si>
  <si>
    <t>TR.ADVANCEDECLINERATIO</t>
  </si>
  <si>
    <t>A-D (Advance-Decline) Ratio. ISSUES_ADV / ISSUES_DEC.</t>
  </si>
  <si>
    <t>Poll_Consensus_2</t>
  </si>
  <si>
    <t>Poll_Consensus_3</t>
  </si>
  <si>
    <t>FCAST_DATE</t>
  </si>
  <si>
    <t>Forecast Date</t>
  </si>
  <si>
    <t>TR.FORECASTDATE</t>
  </si>
  <si>
    <t>Date of the Forecast.</t>
  </si>
  <si>
    <t>Poll_Consensus_4</t>
  </si>
  <si>
    <t>EXCH_RATE</t>
  </si>
  <si>
    <t>Exchange Rate</t>
  </si>
  <si>
    <t>TR.EXCHANGERATE</t>
  </si>
  <si>
    <t>Float Exchange Rate.</t>
  </si>
  <si>
    <t>Poll_Consensus_5</t>
  </si>
  <si>
    <t>FCAST_HIGH</t>
  </si>
  <si>
    <t>High Forecast</t>
  </si>
  <si>
    <t>TR.HIGHFORECAST</t>
  </si>
  <si>
    <t>the highest of all the forecasts received by Reuters from market participants for an economic indicator</t>
  </si>
  <si>
    <t>Poll_Consensus_6</t>
  </si>
  <si>
    <t>FCAST_LOW</t>
  </si>
  <si>
    <t>Low Forecast</t>
  </si>
  <si>
    <t>TR.LOWFORECAST</t>
  </si>
  <si>
    <t>the lowest of all the forecasts received by Reuters from market participants for an economic indicator</t>
  </si>
  <si>
    <t>Poll_Consensus_7</t>
  </si>
  <si>
    <t>FCAST_NUM</t>
  </si>
  <si>
    <t>Number of Forecasts</t>
  </si>
  <si>
    <t>TR.NUMBEROFFORECASTS</t>
  </si>
  <si>
    <t>the number of forecasts received by Reuters from market participants for an economic indicator</t>
  </si>
  <si>
    <t>Poll_Consensus_8</t>
  </si>
  <si>
    <t>EFF_DATE</t>
  </si>
  <si>
    <t>Effective Date</t>
  </si>
  <si>
    <t>TR.EFFECTIVEDATE</t>
  </si>
  <si>
    <t>Effective Date of a particular action</t>
  </si>
  <si>
    <t>Poll_Consensus_9</t>
  </si>
  <si>
    <t>CTB_PRD</t>
  </si>
  <si>
    <t>Lookback Period</t>
  </si>
  <si>
    <t>TR.LOOKBACKPERIOD</t>
  </si>
  <si>
    <t>The period, in months, all contributors' forecasts for a poll are evaluated for accuracy. Also known as the lookback period.</t>
  </si>
  <si>
    <t>Poll_Consensus_10</t>
  </si>
  <si>
    <t>ECON_SFCT</t>
  </si>
  <si>
    <t>Weighted Forecast</t>
  </si>
  <si>
    <t>TR.WEIGHTEDFORECAST</t>
  </si>
  <si>
    <t>Contributor performance weighted forecast</t>
  </si>
  <si>
    <t>Poll_Consensus_11</t>
  </si>
  <si>
    <t>FCAST_ACRY</t>
  </si>
  <si>
    <t>Forecast Accuracy</t>
  </si>
  <si>
    <t>TR.FORECASTACCURACY</t>
  </si>
  <si>
    <t>Accuracy of forecasts</t>
  </si>
  <si>
    <t>Poll_Consensus_12</t>
  </si>
  <si>
    <t>FCAST_MEAN</t>
  </si>
  <si>
    <t>Forecast Mean</t>
  </si>
  <si>
    <t>TR.FORECASTMEAN</t>
  </si>
  <si>
    <t>Arithmetic mean of forecasts</t>
  </si>
  <si>
    <t>Poll_Consensus_13</t>
  </si>
  <si>
    <t>FCAST_MEDN</t>
  </si>
  <si>
    <t>Forecast Median</t>
  </si>
  <si>
    <t>TR.FORECASTMEDIAN</t>
  </si>
  <si>
    <t>The median value of  forecasts</t>
  </si>
  <si>
    <t>Poll_Consensus_14</t>
  </si>
  <si>
    <t>FCAST_MODE</t>
  </si>
  <si>
    <t>Forecast Mode</t>
  </si>
  <si>
    <t>TR.FORECASTMODE</t>
  </si>
  <si>
    <t>The modal value of forecasts</t>
  </si>
  <si>
    <t>Poll_Contributor</t>
  </si>
  <si>
    <t>ECON_FCAST</t>
  </si>
  <si>
    <t>Economic Indicator Forecast</t>
  </si>
  <si>
    <t>TR.ECONOMICINDICATORFORECAST</t>
  </si>
  <si>
    <t>the most recent Reuters forecast, sourced from market participants, for an economic indicator</t>
  </si>
  <si>
    <t>CTB_RANK</t>
  </si>
  <si>
    <t>Contributor Ranking</t>
  </si>
  <si>
    <t>TR.CONTRIBUTORRANKING</t>
  </si>
  <si>
    <t>A ranking measure of how accurate an individual contributor's forecasts has been for a poll over the CTB_PRD.</t>
  </si>
  <si>
    <t>OPINT_1</t>
  </si>
  <si>
    <t>Open Interest</t>
  </si>
  <si>
    <t>TR.OPENINTEREST</t>
  </si>
  <si>
    <t>Open interest. The total number of option or futures contracts that have not been closed or in the case of commodities  liquidated or offset by delivery.</t>
  </si>
  <si>
    <t>VOL_BUY</t>
  </si>
  <si>
    <t>Total Buy Volume</t>
  </si>
  <si>
    <t>TR.TOTALBUYVOLUME</t>
  </si>
  <si>
    <t>Total trade volume on the buy side</t>
  </si>
  <si>
    <t>BID_NUMMOV</t>
  </si>
  <si>
    <t>Number of Bid Traded Order</t>
  </si>
  <si>
    <t>TR.NUMBEROFBIDTRADEDORDER</t>
  </si>
  <si>
    <t>The number of trades hitting the bid price.</t>
  </si>
  <si>
    <t>ASK_NUMMOV</t>
  </si>
  <si>
    <t>Number of Ask Traded Order</t>
  </si>
  <si>
    <t>TR.NUMBEROFASKTRADEDORDER</t>
  </si>
  <si>
    <t>The number of trades taking the Ask price.</t>
  </si>
  <si>
    <t>AVG_PRC</t>
  </si>
  <si>
    <t>Average Price of First Best Bid and Ask</t>
  </si>
  <si>
    <t>TR.AVERAGEPRICEOFFIRSTBESTBIDANDASK</t>
  </si>
  <si>
    <t>The underlying market price. This is the average of the first best bid/ask prices of the future instrument. It is used for volatility calculations.</t>
  </si>
  <si>
    <t>TTL_NUMTRD</t>
  </si>
  <si>
    <t>Total Number of Trade</t>
  </si>
  <si>
    <t>TR.TOTALNUMBEROFTRADE</t>
  </si>
  <si>
    <t>Total number of Trade</t>
  </si>
  <si>
    <t>A_ACCQTY1</t>
  </si>
  <si>
    <t>Total Sell Order</t>
  </si>
  <si>
    <t>TR.TOTALSELLORDER</t>
  </si>
  <si>
    <t>Sell Order Quantity Cumulative Total</t>
  </si>
  <si>
    <t>B_ACCQTY1</t>
  </si>
  <si>
    <t>Total Buy Order</t>
  </si>
  <si>
    <t>TR.TOTALBUYORDER</t>
  </si>
  <si>
    <t>Buy Order Quantity Cumulative Total</t>
  </si>
  <si>
    <t>AC_AORD_SZ</t>
  </si>
  <si>
    <t>Accumulated Ask Side Shares Received</t>
  </si>
  <si>
    <t>TR.ACCUMULATEDASKSIDESHARESRECEIVED</t>
  </si>
  <si>
    <t>Accumulated quantity of ask side shares/contract received today</t>
  </si>
  <si>
    <t>AC_ASK_ORD</t>
  </si>
  <si>
    <t>Accumulated Ask Orders</t>
  </si>
  <si>
    <t>TR.ACCUMULATEDASKORDERS</t>
  </si>
  <si>
    <t>Accumulated numbers of ask orders received today</t>
  </si>
  <si>
    <t>AC_BID_ORD</t>
  </si>
  <si>
    <t>Accumulated Bid Orders</t>
  </si>
  <si>
    <t>TR.ACCUMULATEDBIDORDERS</t>
  </si>
  <si>
    <t>Accumulated numbers of bid orders received today</t>
  </si>
  <si>
    <t>AC_BORD_SZ</t>
  </si>
  <si>
    <t>Accumulated Bid Side Shares Received</t>
  </si>
  <si>
    <t>TR.ACCUMULATEDBIDSIDESHARESRECEIVED</t>
  </si>
  <si>
    <t>Accumulated quantity of bid side shares/contracts received today</t>
  </si>
  <si>
    <t>BUYSEL_STR</t>
  </si>
  <si>
    <t>Buy Sell Strength Indicator</t>
  </si>
  <si>
    <t>TR.BUYSELLSTRENGTHINDICATOR</t>
  </si>
  <si>
    <t>Buy / Sell Strength Indicator</t>
  </si>
  <si>
    <t>PUTCAL_RTO</t>
  </si>
  <si>
    <t>Put Call Ratio</t>
  </si>
  <si>
    <t>TR.PUTCALLRATIO</t>
  </si>
  <si>
    <t>Put-Call Ratio - The quotient of aggregate put and call options volumes.</t>
  </si>
  <si>
    <t>QUTA_REM</t>
  </si>
  <si>
    <t>Remaining Trade Quota</t>
  </si>
  <si>
    <t>TR.REMAININGTRADEQUOTA</t>
  </si>
  <si>
    <t>Today's remaining trade quota balance</t>
  </si>
  <si>
    <t>T_QUTA_REM</t>
  </si>
  <si>
    <t>Total Remaining Trade Quota</t>
  </si>
  <si>
    <t>TR.TOTALREMAININGTRADEQUOTA</t>
  </si>
  <si>
    <t>Total remaining trade quota balance</t>
  </si>
  <si>
    <t>TOT_SELVOL</t>
  </si>
  <si>
    <t>Total Sell Volume</t>
  </si>
  <si>
    <t>TR.TOTALSELLVOLUME</t>
  </si>
  <si>
    <t>Total sell volume</t>
  </si>
  <si>
    <t>NBUY_VAL</t>
  </si>
  <si>
    <t xml:space="preserve">Net Buy Value.  </t>
  </si>
  <si>
    <t>TR.NETBUYVALUE.</t>
  </si>
  <si>
    <t xml:space="preserve">Un-scaled Net Buy Value.  </t>
  </si>
  <si>
    <t>NBUY_VOL</t>
  </si>
  <si>
    <t xml:space="preserve">Net Buy Volume </t>
  </si>
  <si>
    <t>TR.NETBUYVOLUME</t>
  </si>
  <si>
    <t xml:space="preserve">Un-scaled Net Buy Volume </t>
  </si>
  <si>
    <t>TOT_BUYVAL</t>
  </si>
  <si>
    <t>Total Buy Value</t>
  </si>
  <si>
    <t>TR.TOTALBUYVALUE</t>
  </si>
  <si>
    <t>Total buy value</t>
  </si>
  <si>
    <t>TOT_SELVAL</t>
  </si>
  <si>
    <t xml:space="preserve">Total Sell Value </t>
  </si>
  <si>
    <t>TR.TOTALSELLVALUE</t>
  </si>
  <si>
    <t xml:space="preserve">Total sell value </t>
  </si>
  <si>
    <t>CDS_Index</t>
  </si>
  <si>
    <t>CDS_DV01</t>
  </si>
  <si>
    <t>CDS Dollar Variation per Basis Point</t>
  </si>
  <si>
    <t>TR.CDSDOLLARVARIATIONPERBASISPOINT</t>
  </si>
  <si>
    <t>CDS DV01 or Spread DV01. The $ change in the value of the CDS for a given 1bp change in the CDS curve</t>
  </si>
  <si>
    <t>RECOV_RATE</t>
  </si>
  <si>
    <t>Recovery Rate</t>
  </si>
  <si>
    <t>TR.RECOVERYRATE</t>
  </si>
  <si>
    <t>Recovery Rate. % of principal that could be recovered following a credit event.</t>
  </si>
  <si>
    <t>INDEX_SKEW</t>
  </si>
  <si>
    <t>Index Skew</t>
  </si>
  <si>
    <t>TR.INDEXSKEW</t>
  </si>
  <si>
    <t>For CDS indices. The difference between the price of the index CDS traded in the market and the fair value of the index.</t>
  </si>
  <si>
    <t>THEO_PRC_M</t>
  </si>
  <si>
    <t>Theoretical Mid Price</t>
  </si>
  <si>
    <t>TR.THEORETICALMIDPRICE</t>
  </si>
  <si>
    <t>THEO_SPD_M</t>
  </si>
  <si>
    <t>Theoretical Mid Spread</t>
  </si>
  <si>
    <t>TR.THEORETICALMIDSPREAD</t>
  </si>
  <si>
    <t>CDS_Index_Tranche</t>
  </si>
  <si>
    <t>GAMMA</t>
  </si>
  <si>
    <t>Gamma</t>
  </si>
  <si>
    <t>TR.GAMMA</t>
  </si>
  <si>
    <t>Gamma.</t>
  </si>
  <si>
    <t>THETA</t>
  </si>
  <si>
    <t>Theta</t>
  </si>
  <si>
    <t>TR.THETA</t>
  </si>
  <si>
    <t>Theta.</t>
  </si>
  <si>
    <t>CDS_Single_Company</t>
  </si>
  <si>
    <t>CDS_BASIS</t>
  </si>
  <si>
    <t>CDS Basis</t>
  </si>
  <si>
    <t>TR.CDSBASIS</t>
  </si>
  <si>
    <t>CDS Basis. CDS - Asset Swap Spread (or equivalent).</t>
  </si>
  <si>
    <t>ALT_ZSCORE</t>
  </si>
  <si>
    <t>Altman Z Score</t>
  </si>
  <si>
    <t>TR.ALTMANZSCORE</t>
  </si>
  <si>
    <t>Altman's Z Score. Bankruptcy predictor.</t>
  </si>
  <si>
    <t>UPF100MID</t>
  </si>
  <si>
    <t>Mid Upfront 100 Coupon</t>
  </si>
  <si>
    <t>TR.MIDUPFRONT100COUPON</t>
  </si>
  <si>
    <t>Upfront Mid traded with fixed coupon of 100 bps</t>
  </si>
  <si>
    <t>UPF500MID</t>
  </si>
  <si>
    <t>Mid Upfront 500 Coupon</t>
  </si>
  <si>
    <t>TR.MIDUPFRONT500COUPON</t>
  </si>
  <si>
    <t>Upfront Mid traded with fixed coupon of 500 bps</t>
  </si>
  <si>
    <t>CPN_FIXED1</t>
  </si>
  <si>
    <t>Fixed Coupon</t>
  </si>
  <si>
    <t>TR.FIXEDCOUPON</t>
  </si>
  <si>
    <t xml:space="preserve">Fixed Coupon.  </t>
  </si>
  <si>
    <t>IRGPRC</t>
  </si>
  <si>
    <t>Irregular Trade Price</t>
  </si>
  <si>
    <t>TR.IRREGULARTRADEPRICE</t>
  </si>
  <si>
    <t>A cancelled, inserted, retransmitted or irregular price.  Strategically to be used for "last Ineligble" trades only.</t>
  </si>
  <si>
    <t>IMP_YIELD</t>
  </si>
  <si>
    <t>Implied Yield</t>
  </si>
  <si>
    <t>TR.IMPLIEDYIELD</t>
  </si>
  <si>
    <t>Futures Implied Yield</t>
  </si>
  <si>
    <t>CONVX_BIAS</t>
  </si>
  <si>
    <t>Convexity Bias</t>
  </si>
  <si>
    <t>TR.CONVEXITYBIAS</t>
  </si>
  <si>
    <t>This field should display the Convexity BIAS.</t>
  </si>
  <si>
    <t>OPEN1</t>
  </si>
  <si>
    <t>First Open Price</t>
  </si>
  <si>
    <t>TR.FIRSTOPENPRICE</t>
  </si>
  <si>
    <t>For commodities the first or only opening price in an open range.</t>
  </si>
  <si>
    <t>OPEN2</t>
  </si>
  <si>
    <t>Second Open Price</t>
  </si>
  <si>
    <t>TR.SECONDOPENPRICE</t>
  </si>
  <si>
    <t>For commodities the second opening price in an open range.</t>
  </si>
  <si>
    <t>OPNRNGTP</t>
  </si>
  <si>
    <t>Open Range Price Type</t>
  </si>
  <si>
    <t>TR.OPENRANGEPRICETYPE</t>
  </si>
  <si>
    <t>Today's open range price(s) type.</t>
  </si>
  <si>
    <t>EXERCISED</t>
  </si>
  <si>
    <t>Number of Contracts Exercised</t>
  </si>
  <si>
    <t>TR.NUMBEROFCONTRACTSEXERCISED</t>
  </si>
  <si>
    <t>The number of options contracts exercised during the trading day.</t>
  </si>
  <si>
    <t>VOL_SELL</t>
  </si>
  <si>
    <t>Sell Volume</t>
  </si>
  <si>
    <t>TR.SELLVOLUME</t>
  </si>
  <si>
    <t>Total trade volume on the sell side</t>
  </si>
  <si>
    <t>COMB_ACVOL</t>
  </si>
  <si>
    <t>Combined Accumulated Volume</t>
  </si>
  <si>
    <t>TR.COMBINEDACCUMULATEDVOLUME</t>
  </si>
  <si>
    <t>The day's total combined trading volume including spreads(strategy order) trades and implied order trades</t>
  </si>
  <si>
    <t>TURN_BLOCK</t>
  </si>
  <si>
    <t>Block and Basket Trades Turnover</t>
  </si>
  <si>
    <t>TR.BLOCKANDBASKETTRADESTURNOVER</t>
  </si>
  <si>
    <t>Turnover of all Basket and Block trades.</t>
  </si>
  <si>
    <t>CLOSE1</t>
  </si>
  <si>
    <t>First Close Price</t>
  </si>
  <si>
    <t>TR.FIRSTCLOSEPRICE</t>
  </si>
  <si>
    <t>For commodities today's first or only closing price</t>
  </si>
  <si>
    <t>CLOSE2</t>
  </si>
  <si>
    <t>Second Close Price</t>
  </si>
  <si>
    <t>TR.SECONDCLOSEPRICE</t>
  </si>
  <si>
    <t>For commodities today's second closing price. Zero if there is only one closing price.</t>
  </si>
  <si>
    <t>PRIMACT_1</t>
  </si>
  <si>
    <t>Last Update Value</t>
  </si>
  <si>
    <t>TR.LASTUPDATEVALUE</t>
  </si>
  <si>
    <t>Primary last activity fields  the most recent held in PRIMACT_1.</t>
  </si>
  <si>
    <t>VOL_X_PRC1</t>
  </si>
  <si>
    <t>Value of the latest trade or Trade Turnover  (TRDVOL_1 x TRDPRC_1).</t>
  </si>
  <si>
    <t>OPEN_TRD</t>
  </si>
  <si>
    <t>First Traded Price</t>
  </si>
  <si>
    <t>TR.FIRSTTRADEDPRICE</t>
  </si>
  <si>
    <t>First traded price of the day, used when venue provides opening price not based on first trade of the day.</t>
  </si>
  <si>
    <t>OFF_BID</t>
  </si>
  <si>
    <t>Official Bid Price</t>
  </si>
  <si>
    <t>TR.OFFICIALBIDPRICE</t>
  </si>
  <si>
    <t>Official Bid price posted at end of pit or ring trading period.</t>
  </si>
  <si>
    <t>OFF_ASK</t>
  </si>
  <si>
    <t>Official Ask Price</t>
  </si>
  <si>
    <t>TR.OFFICIALASKPRICE</t>
  </si>
  <si>
    <t>Official Ask price posted at end of pit or ring trading period.</t>
  </si>
  <si>
    <t>UNOFF_BID</t>
  </si>
  <si>
    <t>Unofficial Bid Price</t>
  </si>
  <si>
    <t>TR.UNOFFICIALBIDPRICE</t>
  </si>
  <si>
    <t>Real time bid price as reported by exchange.  May continue to update after Official prices are posted.</t>
  </si>
  <si>
    <t>UNOFF_ASK</t>
  </si>
  <si>
    <t>Unofficial Ask Price</t>
  </si>
  <si>
    <t>TR.UNOFFICIALASKPRICE</t>
  </si>
  <si>
    <t>Real time ask price as reported by exchange.  May continue to update after Official prices are posted.</t>
  </si>
  <si>
    <t>THEO_VALUE</t>
  </si>
  <si>
    <t>Theoretical Value</t>
  </si>
  <si>
    <t>TR.THEORETICALVALUE</t>
  </si>
  <si>
    <t>Theoretical Value of an instrument as given by Black-Sholes or other model.</t>
  </si>
  <si>
    <t>VEGA</t>
  </si>
  <si>
    <t>Vega</t>
  </si>
  <si>
    <t>TR.VEGA</t>
  </si>
  <si>
    <t>Vega.</t>
  </si>
  <si>
    <t>RHO</t>
  </si>
  <si>
    <t>Rho</t>
  </si>
  <si>
    <t>TR.RHO</t>
  </si>
  <si>
    <t>Rho.</t>
  </si>
  <si>
    <t>30D_A_IM_C</t>
  </si>
  <si>
    <t>30 Day At-The-Money Implied Volatility Index for Call Options</t>
  </si>
  <si>
    <t>TR.30DAYATTHEMONEYIMPLIEDVOLATILITYINDEXFORCALLOPTIONS</t>
  </si>
  <si>
    <t>30 Day at-the-money implied volatility index for call options</t>
  </si>
  <si>
    <t>30D_A_IM_P</t>
  </si>
  <si>
    <t>30 Day At-The-Money Implied Volatility Index for Put Options</t>
  </si>
  <si>
    <t>TR.30DAYATTHEMONEYIMPLIEDVOLATILITYINDEXFORPUTOPTIONS</t>
  </si>
  <si>
    <t>30 Day at-the-money implied volatility index for put options</t>
  </si>
  <si>
    <t>60D_A_IM_C</t>
  </si>
  <si>
    <t>60 Day At-The-Money Implied Volatility Index for Call Options</t>
  </si>
  <si>
    <t>TR.60DAYATTHEMONEYIMPLIEDVOLATILITYINDEXFORCALLOPTIONS</t>
  </si>
  <si>
    <t>60 Day at-the-money implied volatility index for call options</t>
  </si>
  <si>
    <t>60D_A_IM_P</t>
  </si>
  <si>
    <t>60 Day At-The-Money Implied Volatility Index for Put Options</t>
  </si>
  <si>
    <t>TR.60DAYATTHEMONEYIMPLIEDVOLATILITYINDEXFORPUTOPTIONS</t>
  </si>
  <si>
    <t>60 Day at-the-money implied volatility index for put options</t>
  </si>
  <si>
    <t>90D_A_IM_C</t>
  </si>
  <si>
    <t>90 Day At-The-Money Implied Volatility Index for Call Options</t>
  </si>
  <si>
    <t>TR.90DAYATTHEMONEYIMPLIEDVOLATILITYINDEXFORCALLOPTIONS</t>
  </si>
  <si>
    <t>90 Day at-the-money implied volatility index for call options</t>
  </si>
  <si>
    <t>90D_A_IM_P</t>
  </si>
  <si>
    <t>90 Day At-The-Money Implied Volatility Index for Put Options</t>
  </si>
  <si>
    <t>TR.90DAYATTHEMONEYIMPLIEDVOLATILITYINDEXFORPUTOPTIONS</t>
  </si>
  <si>
    <t>90 Day at-the-money implied volatility index for put options</t>
  </si>
  <si>
    <t>VOL_OI_RTO</t>
  </si>
  <si>
    <t>Volume Open Interest Ratio</t>
  </si>
  <si>
    <t>TR.VOLUMEOPENINTERESTRATIO</t>
  </si>
  <si>
    <t>Volume open interest ratio</t>
  </si>
  <si>
    <t>CABNT_PRC</t>
  </si>
  <si>
    <t>Cabinet Trade Price</t>
  </si>
  <si>
    <t>TR.CABINETTRADEPRICE</t>
  </si>
  <si>
    <t>Nominal price for liquidating deep-out-of-the-money options contracts. Defined as the lowest possible tradable price for this option. Trades on options done at a price equal to zero are considered cabinet trades.</t>
  </si>
  <si>
    <t>STRGY_IMAZ</t>
  </si>
  <si>
    <t>Bid Size at Implied Best Ask Price</t>
  </si>
  <si>
    <t>TR.BIDSIZEATIMPLIEDBESTASKPRICE</t>
  </si>
  <si>
    <t>The number of shares, lots, or contracts willing to buy at the implied best ask price, STRGY_IMPA</t>
  </si>
  <si>
    <t>STRGY_IMBZ</t>
  </si>
  <si>
    <t>Bid Size at Implied Best Bid Price</t>
  </si>
  <si>
    <t>TR.BIDSIZEATIMPLIEDBESTBIDPRICE</t>
  </si>
  <si>
    <t>The number of shares, lots, or contracts willing to buy at the implied best bid price, STRGY_IMPB</t>
  </si>
  <si>
    <t>STRGY_IMPA</t>
  </si>
  <si>
    <t>Latest Implied Best Ask Price</t>
  </si>
  <si>
    <t>TR.LATESTIMPLIEDBESTASKPRICE</t>
  </si>
  <si>
    <t>STRGY_IMPB</t>
  </si>
  <si>
    <t>Latest Implied Best Bid Price</t>
  </si>
  <si>
    <t>TR.LATESTIMPLIEDBESTBIDPRICE</t>
  </si>
  <si>
    <t>Commodities_Swap</t>
  </si>
  <si>
    <t>YRHIGH</t>
  </si>
  <si>
    <t>Year High</t>
  </si>
  <si>
    <t>TR.YEARHIGH</t>
  </si>
  <si>
    <t>The highest value this year or period. The content of this field is further qualified by FID 1075.</t>
  </si>
  <si>
    <t>YRLOW</t>
  </si>
  <si>
    <t>Year Low</t>
  </si>
  <si>
    <t>TR.YEARLOW</t>
  </si>
  <si>
    <t>The lowest value this year or period. The content of this field is further qualified by FID 1076.</t>
  </si>
  <si>
    <t>LIFE_HIGH</t>
  </si>
  <si>
    <t>Life High</t>
  </si>
  <si>
    <t>TR.LIFEHIGH</t>
  </si>
  <si>
    <t>The highest value ever achieved by this issue.</t>
  </si>
  <si>
    <t>LIFE_LOW</t>
  </si>
  <si>
    <t>Life Low</t>
  </si>
  <si>
    <t>TR.LIFELOW</t>
  </si>
  <si>
    <t>The lowest value ever achieved by this issue.</t>
  </si>
  <si>
    <t>Commodity_Precious_Metals_Spot</t>
  </si>
  <si>
    <t>List of Fields by Asset Class worksheet</t>
  </si>
  <si>
    <t>Provides you with the full list of data items available via Datablender</t>
  </si>
  <si>
    <t>Transaction Id</t>
  </si>
  <si>
    <t>Action</t>
  </si>
  <si>
    <t>Start Time</t>
  </si>
  <si>
    <t>End Time</t>
  </si>
  <si>
    <t>Time Taken (ms)</t>
  </si>
  <si>
    <t>a7d7cfdf-2036-44b4-9e70-4ae3fb0b8855</t>
  </si>
  <si>
    <t>Updating Pivot Table Reports with active connection - Deals BI, 0 pivot table(s) updated</t>
  </si>
  <si>
    <t>'NA'</t>
  </si>
  <si>
    <t>575ebcfd-6d15-479f-b539-492536309af6</t>
  </si>
  <si>
    <t>d15ff0cb-f98c-4deb-845c-d4fd11a42a26</t>
  </si>
  <si>
    <t>75263280-7a12-4796-8f0c-506b7828b39a</t>
  </si>
  <si>
    <t>List of Fields by Asset Class</t>
  </si>
  <si>
    <t>057cf28a-4250-4f8c-962a-38b847876c4c</t>
  </si>
  <si>
    <t>f402e2b5-bce3-44cc-b387-0e3537c7f0dd</t>
  </si>
  <si>
    <t>DEBYc1</t>
  </si>
  <si>
    <t>FDBYc1</t>
  </si>
  <si>
    <t>FFBYc1</t>
  </si>
  <si>
    <t>NGLNYc1</t>
  </si>
  <si>
    <t>FFBQQc1</t>
  </si>
  <si>
    <t>FFBMc2</t>
  </si>
  <si>
    <t>-1500d</t>
  </si>
  <si>
    <r>
      <rPr>
        <b/>
        <sz val="10"/>
        <rFont val="Calibri"/>
        <family val="2"/>
        <scheme val="minor"/>
      </rPr>
      <t>Instrument:</t>
    </r>
    <r>
      <rPr>
        <sz val="10"/>
        <rFont val="Calibri"/>
        <family val="2"/>
        <scheme val="minor"/>
      </rPr>
      <t xml:space="preserve"> User can enter in a valid RIC that is supported by the time series content (Cell F4)</t>
    </r>
  </si>
  <si>
    <r>
      <rPr>
        <b/>
        <sz val="10"/>
        <color theme="1"/>
        <rFont val="Calibri"/>
        <family val="2"/>
        <scheme val="minor"/>
      </rPr>
      <t>Sdate:</t>
    </r>
    <r>
      <rPr>
        <sz val="10"/>
        <color theme="1"/>
        <rFont val="Calibri"/>
        <family val="2"/>
        <scheme val="minor"/>
      </rPr>
      <t xml:space="preserve"> Any relative date enumeration or absolute date can be entered to define the start date of the time series request (Cell F5)</t>
    </r>
  </si>
  <si>
    <r>
      <rPr>
        <b/>
        <sz val="10"/>
        <color theme="1"/>
        <rFont val="Calibri"/>
        <family val="2"/>
        <scheme val="minor"/>
      </rPr>
      <t>Edate:</t>
    </r>
    <r>
      <rPr>
        <sz val="10"/>
        <color theme="1"/>
        <rFont val="Calibri"/>
        <family val="2"/>
        <scheme val="minor"/>
      </rPr>
      <t xml:space="preserve"> Any relative date enumeration or absolute date can be entered to define the end date of the time series request (Cell F6)</t>
    </r>
  </si>
  <si>
    <r>
      <rPr>
        <b/>
        <sz val="10"/>
        <color indexed="8"/>
        <rFont val="Calibri"/>
        <family val="2"/>
        <scheme val="minor"/>
      </rPr>
      <t xml:space="preserve">Frequency: </t>
    </r>
    <r>
      <rPr>
        <sz val="10"/>
        <color indexed="8"/>
        <rFont val="Calibri"/>
        <family val="2"/>
        <scheme val="minor"/>
      </rPr>
      <t>Define how you want your time series request to be retrieved i.e. Calendar Year (CY), Trading Day (D), Actual Month (M), etc… (Cell F7)</t>
    </r>
  </si>
  <si>
    <r>
      <rPr>
        <b/>
        <sz val="10"/>
        <color indexed="8"/>
        <rFont val="Calibri"/>
        <family val="2"/>
        <scheme val="minor"/>
      </rPr>
      <t>Currency:</t>
    </r>
    <r>
      <rPr>
        <sz val="10"/>
        <color indexed="8"/>
        <rFont val="Calibri"/>
        <family val="2"/>
        <scheme val="minor"/>
      </rPr>
      <t xml:space="preserve"> Apply a currency conversion to the data you are requesting (Cell F8)</t>
    </r>
  </si>
  <si>
    <r>
      <rPr>
        <b/>
        <sz val="10"/>
        <color indexed="8"/>
        <rFont val="Calibri"/>
        <family val="2"/>
        <scheme val="minor"/>
      </rPr>
      <t>Null Handling:</t>
    </r>
    <r>
      <rPr>
        <sz val="10"/>
        <color indexed="8"/>
        <rFont val="Calibri"/>
        <family val="2"/>
        <scheme val="minor"/>
      </rPr>
      <t xml:space="preserve"> Define how Nulls should be displayed (Cell F9)</t>
    </r>
  </si>
  <si>
    <r>
      <rPr>
        <b/>
        <sz val="10"/>
        <color indexed="8"/>
        <rFont val="Calibri"/>
        <family val="2"/>
        <scheme val="minor"/>
      </rPr>
      <t>Adjusted Split Shares:</t>
    </r>
    <r>
      <rPr>
        <sz val="10"/>
        <color indexed="8"/>
        <rFont val="Calibri"/>
        <family val="2"/>
        <scheme val="minor"/>
      </rPr>
      <t xml:space="preserve"> Do you want the prices to be adjusted for splits, yes or no? (Cell F10)</t>
    </r>
  </si>
  <si>
    <r>
      <rPr>
        <b/>
        <sz val="10"/>
        <color theme="1"/>
        <rFont val="Calibri"/>
        <family val="2"/>
        <scheme val="minor"/>
      </rPr>
      <t>Data Items:</t>
    </r>
    <r>
      <rPr>
        <sz val="10"/>
        <color theme="1"/>
        <rFont val="Calibri"/>
        <family val="2"/>
        <scheme val="minor"/>
      </rPr>
      <t xml:space="preserve"> Ability to select up to 5 data items (Cells D15:H15)</t>
    </r>
  </si>
  <si>
    <r>
      <rPr>
        <b/>
        <sz val="10"/>
        <color indexed="8"/>
        <rFont val="Calibri"/>
        <family val="2"/>
        <scheme val="minor"/>
      </rPr>
      <t xml:space="preserve">Data Item: </t>
    </r>
    <r>
      <rPr>
        <sz val="10"/>
        <color indexed="8"/>
        <rFont val="Calibri"/>
        <family val="2"/>
        <scheme val="minor"/>
      </rPr>
      <t>Define the Time Series data item you want to view in the TR function (Cell G4)</t>
    </r>
  </si>
  <si>
    <r>
      <rPr>
        <b/>
        <sz val="10"/>
        <color theme="1"/>
        <rFont val="Calibri"/>
        <family val="2"/>
        <scheme val="minor"/>
      </rPr>
      <t>Sdate:</t>
    </r>
    <r>
      <rPr>
        <sz val="10"/>
        <color theme="1"/>
        <rFont val="Calibri"/>
        <family val="2"/>
        <scheme val="minor"/>
      </rPr>
      <t xml:space="preserve"> Any relative date enumeration or absolute date can be entered to define the start date of the time series request (Cell G5)</t>
    </r>
  </si>
  <si>
    <r>
      <rPr>
        <b/>
        <sz val="10"/>
        <color theme="1"/>
        <rFont val="Calibri"/>
        <family val="2"/>
        <scheme val="minor"/>
      </rPr>
      <t>Edate:</t>
    </r>
    <r>
      <rPr>
        <sz val="10"/>
        <color theme="1"/>
        <rFont val="Calibri"/>
        <family val="2"/>
        <scheme val="minor"/>
      </rPr>
      <t xml:space="preserve"> Any relative date enumeration or absolute date can be entered to define the end date of the time series request (Cell G6)</t>
    </r>
  </si>
  <si>
    <r>
      <rPr>
        <b/>
        <sz val="10"/>
        <color indexed="8"/>
        <rFont val="Calibri"/>
        <family val="2"/>
        <scheme val="minor"/>
      </rPr>
      <t>Frequency:</t>
    </r>
    <r>
      <rPr>
        <sz val="10"/>
        <color indexed="8"/>
        <rFont val="Calibri"/>
        <family val="2"/>
        <scheme val="minor"/>
      </rPr>
      <t xml:space="preserve"> Define how you want your time series request to be retrieved i.e. Calendar Year (CY), Trading Day (D), Actual Month (M), etc… (Cell G7)</t>
    </r>
  </si>
  <si>
    <r>
      <rPr>
        <b/>
        <sz val="10"/>
        <color indexed="8"/>
        <rFont val="Calibri"/>
        <family val="2"/>
        <scheme val="minor"/>
      </rPr>
      <t>Currency:</t>
    </r>
    <r>
      <rPr>
        <sz val="10"/>
        <color indexed="8"/>
        <rFont val="Calibri"/>
        <family val="2"/>
        <scheme val="minor"/>
      </rPr>
      <t xml:space="preserve"> Apply a currency conversion to the data you are requesting (Cell G8)</t>
    </r>
  </si>
  <si>
    <r>
      <rPr>
        <b/>
        <sz val="10"/>
        <color indexed="8"/>
        <rFont val="Calibri"/>
        <family val="2"/>
        <scheme val="minor"/>
      </rPr>
      <t>Null Handling:</t>
    </r>
    <r>
      <rPr>
        <sz val="10"/>
        <color indexed="8"/>
        <rFont val="Calibri"/>
        <family val="2"/>
        <scheme val="minor"/>
      </rPr>
      <t xml:space="preserve"> Define how Nulls should be displayed (Cell G9)</t>
    </r>
  </si>
  <si>
    <r>
      <rPr>
        <b/>
        <sz val="10"/>
        <color indexed="8"/>
        <rFont val="Calibri"/>
        <family val="2"/>
        <scheme val="minor"/>
      </rPr>
      <t>Adjusted Split Shares:</t>
    </r>
    <r>
      <rPr>
        <sz val="10"/>
        <color indexed="8"/>
        <rFont val="Calibri"/>
        <family val="2"/>
        <scheme val="minor"/>
      </rPr>
      <t xml:space="preserve"> Do you want the prices to be adjusted for splits, yes or no? (Cell G10)</t>
    </r>
  </si>
  <si>
    <t>Time Series Data</t>
  </si>
  <si>
    <t>Single Instrument and TSI Data Capabilities in the TR Function</t>
  </si>
  <si>
    <t>Using Multiple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</si>
</sst>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d\ dd\ mmm\ yy"/>
  </numFmts>
  <fonts count="37">
    <font>
      <sz val="11"/>
      <color theme="1"/>
      <name val="0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24"/>
      <color indexed="10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b/>
      <sz val="12"/>
      <color indexed="9"/>
      <name val="Arial"/>
      <family val="2"/>
    </font>
    <font>
      <i/>
      <sz val="12"/>
      <color indexed="9"/>
      <name val="Helv"/>
    </font>
    <font>
      <b/>
      <i/>
      <u/>
      <sz val="14"/>
      <color indexed="9"/>
      <name val="Arial"/>
      <family val="2"/>
    </font>
    <font>
      <sz val="10"/>
      <color indexed="8"/>
      <name val="Arial"/>
      <family val="2"/>
    </font>
    <font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0"/>
    </font>
    <font>
      <sz val="17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rgb="FF15151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32AB60"/>
      <name val="Calibri"/>
      <family val="2"/>
      <scheme val="minor"/>
    </font>
    <font>
      <b/>
      <sz val="17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12"/>
        <bgColor indexed="12"/>
      </patternFill>
    </fill>
    <fill>
      <patternFill patternType="solid">
        <fgColor rgb="FFE2E2E2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theme="0"/>
        <b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3"/>
      </patternFill>
    </fill>
    <fill>
      <patternFill patternType="solid">
        <fgColor indexed="12"/>
      </patternFill>
    </fill>
    <fill>
      <patternFill patternType="solid">
        <fgColor rgb="FFFFDDBA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rgb="FFFF9933"/>
      </left>
      <right style="thin">
        <color rgb="FFFF9933"/>
      </right>
      <top style="thin">
        <color rgb="FFFF9933"/>
      </top>
      <bottom style="thin">
        <color rgb="FFFF9933"/>
      </bottom>
      <diagonal/>
    </border>
    <border>
      <left/>
      <right/>
      <top style="thin">
        <color rgb="FFC2C2C2"/>
      </top>
      <bottom style="thin">
        <color rgb="FFC2C2C2"/>
      </bottom>
      <diagonal/>
    </border>
    <border>
      <left/>
      <right/>
      <top/>
      <bottom style="medium">
        <color rgb="FF3C3C3C"/>
      </bottom>
      <diagonal/>
    </border>
    <border>
      <left style="thin">
        <color rgb="FF99A5FF"/>
      </left>
      <right style="thin">
        <color rgb="FF99A5FF"/>
      </right>
      <top style="thin">
        <color rgb="FF99A5FF"/>
      </top>
      <bottom style="thin">
        <color rgb="FF99A5FF"/>
      </bottom>
      <diagonal/>
    </border>
    <border>
      <left style="thin">
        <color rgb="FF99A5FF"/>
      </left>
      <right style="thin">
        <color rgb="FF99A5FF"/>
      </right>
      <top style="thin">
        <color rgb="FF99A5FF"/>
      </top>
      <bottom/>
      <diagonal/>
    </border>
    <border>
      <left style="thin">
        <color rgb="FF99A5FF"/>
      </left>
      <right/>
      <top style="thin">
        <color rgb="FF99A5FF"/>
      </top>
      <bottom style="thin">
        <color rgb="FF99A5FF"/>
      </bottom>
      <diagonal/>
    </border>
  </borders>
  <cellStyleXfs count="17">
    <xf numFmtId="0" fontId="0" fillId="0" borderId="0"/>
    <xf numFmtId="0" fontId="4" fillId="0" borderId="0"/>
    <xf numFmtId="0" fontId="5" fillId="2" borderId="0" applyBorder="0">
      <alignment horizontal="right"/>
    </xf>
    <xf numFmtId="0" fontId="3" fillId="0" borderId="0"/>
    <xf numFmtId="0" fontId="7" fillId="6" borderId="0" applyNumberFormat="0" applyFont="0" applyBorder="0" applyAlignment="0" applyProtection="0">
      <alignment horizontal="left"/>
    </xf>
    <xf numFmtId="0" fontId="6" fillId="0" borderId="0"/>
    <xf numFmtId="0" fontId="3" fillId="0" borderId="0"/>
    <xf numFmtId="165" fontId="8" fillId="7" borderId="0" applyNumberFormat="0">
      <alignment horizontal="right"/>
      <protection locked="0"/>
    </xf>
    <xf numFmtId="0" fontId="9" fillId="7" borderId="1" applyBorder="0">
      <alignment horizontal="right"/>
    </xf>
    <xf numFmtId="0" fontId="10" fillId="8" borderId="0" applyNumberFormat="0" applyBorder="0">
      <alignment horizontal="right"/>
    </xf>
    <xf numFmtId="0" fontId="11" fillId="8" borderId="1">
      <alignment horizontal="right"/>
    </xf>
    <xf numFmtId="0" fontId="7" fillId="6" borderId="0" applyNumberFormat="0" applyFont="0" applyBorder="0" applyAlignment="0" applyProtection="0">
      <alignment horizontal="left"/>
    </xf>
    <xf numFmtId="0" fontId="12" fillId="9" borderId="0">
      <alignment horizontal="left"/>
    </xf>
    <xf numFmtId="0" fontId="13" fillId="10" borderId="2" applyNumberFormat="0" applyAlignment="0" applyProtection="0"/>
    <xf numFmtId="0" fontId="14" fillId="4" borderId="0" applyNumberFormat="0" applyAlignment="0" applyProtection="0"/>
    <xf numFmtId="0" fontId="13" fillId="0" borderId="0" applyNumberFormat="0" applyAlignment="0" applyProtection="0"/>
    <xf numFmtId="0" fontId="2" fillId="0" borderId="0"/>
  </cellStyleXfs>
  <cellXfs count="60">
    <xf numFmtId="0" fontId="0" fillId="0" borderId="0" xfId="0"/>
    <xf numFmtId="0" fontId="15" fillId="0" borderId="0" xfId="0" applyFont="1"/>
    <xf numFmtId="0" fontId="2" fillId="0" borderId="0" xfId="16"/>
    <xf numFmtId="0" fontId="16" fillId="0" borderId="0" xfId="16" applyFont="1"/>
    <xf numFmtId="0" fontId="17" fillId="0" borderId="0" xfId="16" applyFont="1" applyAlignment="1">
      <alignment horizontal="left" vertical="top"/>
    </xf>
    <xf numFmtId="0" fontId="18" fillId="0" borderId="0" xfId="0" applyFont="1"/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9" fontId="0" fillId="0" borderId="0" xfId="0" applyNumberFormat="1" applyAlignment="1">
      <alignment horizontal="left" wrapText="1"/>
    </xf>
    <xf numFmtId="0" fontId="19" fillId="13" borderId="4" xfId="0" applyFont="1" applyFill="1" applyBorder="1" applyAlignment="1">
      <alignment vertical="center"/>
    </xf>
    <xf numFmtId="0" fontId="20" fillId="13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12" borderId="6" xfId="13" quotePrefix="1" applyFont="1" applyFill="1" applyBorder="1" applyAlignment="1">
      <alignment vertical="center"/>
    </xf>
    <xf numFmtId="0" fontId="20" fillId="0" borderId="0" xfId="0" applyFont="1" applyAlignment="1">
      <alignment horizontal="left" vertical="center" wrapText="1"/>
    </xf>
    <xf numFmtId="0" fontId="23" fillId="0" borderId="0" xfId="0" applyFont="1"/>
    <xf numFmtId="0" fontId="20" fillId="0" borderId="0" xfId="0" quotePrefix="1" applyFont="1" applyAlignment="1">
      <alignment vertical="center"/>
    </xf>
    <xf numFmtId="14" fontId="22" fillId="12" borderId="6" xfId="13" quotePrefix="1" applyNumberFormat="1" applyFont="1" applyFill="1" applyBorder="1" applyAlignment="1">
      <alignment vertical="center"/>
    </xf>
    <xf numFmtId="0" fontId="22" fillId="12" borderId="6" xfId="13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2" fillId="12" borderId="5" xfId="13" applyFont="1" applyFill="1" applyBorder="1" applyAlignment="1">
      <alignment vertical="center"/>
    </xf>
    <xf numFmtId="0" fontId="22" fillId="12" borderId="7" xfId="13" applyFont="1" applyFill="1" applyBorder="1" applyAlignment="1">
      <alignment vertical="center"/>
    </xf>
    <xf numFmtId="0" fontId="25" fillId="4" borderId="0" xfId="14" applyFont="1" applyAlignment="1">
      <alignment vertical="center"/>
    </xf>
    <xf numFmtId="0" fontId="25" fillId="4" borderId="0" xfId="14" quotePrefix="1" applyFont="1" applyAlignment="1">
      <alignment vertical="center"/>
    </xf>
    <xf numFmtId="14" fontId="20" fillId="0" borderId="0" xfId="15" applyNumberFormat="1" applyFont="1" applyAlignment="1">
      <alignment vertical="center"/>
    </xf>
    <xf numFmtId="0" fontId="20" fillId="0" borderId="0" xfId="15" quotePrefix="1" applyFont="1" applyAlignment="1">
      <alignment vertical="center"/>
    </xf>
    <xf numFmtId="0" fontId="20" fillId="0" borderId="0" xfId="15" quotePrefix="1" applyNumberFormat="1" applyFont="1" applyAlignment="1">
      <alignment vertical="center"/>
    </xf>
    <xf numFmtId="0" fontId="26" fillId="0" borderId="0" xfId="0" applyFont="1"/>
    <xf numFmtId="0" fontId="27" fillId="0" borderId="0" xfId="0" applyFont="1"/>
    <xf numFmtId="0" fontId="20" fillId="0" borderId="0" xfId="15" applyFont="1" applyAlignment="1">
      <alignment vertical="center"/>
    </xf>
    <xf numFmtId="0" fontId="20" fillId="0" borderId="0" xfId="15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5" fillId="11" borderId="0" xfId="14" quotePrefix="1" applyFont="1" applyFill="1" applyAlignment="1">
      <alignment vertical="center"/>
    </xf>
    <xf numFmtId="0" fontId="20" fillId="0" borderId="0" xfId="0" quotePrefix="1" applyFont="1" applyAlignment="1">
      <alignment horizontal="left" vertical="center" wrapText="1"/>
    </xf>
    <xf numFmtId="14" fontId="20" fillId="0" borderId="3" xfId="15" quotePrefix="1" applyNumberFormat="1" applyFont="1" applyBorder="1" applyAlignment="1">
      <alignment vertical="center"/>
    </xf>
    <xf numFmtId="0" fontId="20" fillId="0" borderId="3" xfId="15" quotePrefix="1" applyFont="1" applyBorder="1" applyAlignment="1">
      <alignment horizontal="right" vertical="center"/>
    </xf>
    <xf numFmtId="14" fontId="20" fillId="0" borderId="0" xfId="0" quotePrefix="1" applyNumberFormat="1" applyFont="1" applyAlignment="1">
      <alignment vertical="center"/>
    </xf>
    <xf numFmtId="0" fontId="20" fillId="0" borderId="0" xfId="0" quotePrefix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13" borderId="4" xfId="16" applyFont="1" applyFill="1" applyBorder="1"/>
    <xf numFmtId="0" fontId="19" fillId="13" borderId="4" xfId="16" applyFont="1" applyFill="1" applyBorder="1" applyAlignment="1">
      <alignment vertical="center"/>
    </xf>
    <xf numFmtId="0" fontId="1" fillId="13" borderId="0" xfId="16" applyFont="1" applyFill="1"/>
    <xf numFmtId="0" fontId="22" fillId="0" borderId="0" xfId="16" applyFont="1"/>
    <xf numFmtId="0" fontId="1" fillId="0" borderId="0" xfId="16" applyFont="1"/>
    <xf numFmtId="0" fontId="22" fillId="0" borderId="0" xfId="0" pivotButton="1" applyFont="1"/>
    <xf numFmtId="0" fontId="22" fillId="0" borderId="0" xfId="0" applyFont="1"/>
    <xf numFmtId="0" fontId="1" fillId="0" borderId="0" xfId="0" applyFont="1"/>
    <xf numFmtId="0" fontId="1" fillId="13" borderId="0" xfId="1" applyFont="1" applyFill="1"/>
    <xf numFmtId="0" fontId="1" fillId="0" borderId="0" xfId="1" applyFont="1"/>
    <xf numFmtId="0" fontId="30" fillId="3" borderId="0" xfId="2" applyFont="1" applyFill="1" applyBorder="1" applyAlignment="1">
      <alignment vertical="center"/>
    </xf>
    <xf numFmtId="0" fontId="22" fillId="0" borderId="0" xfId="1" applyFont="1"/>
    <xf numFmtId="0" fontId="31" fillId="4" borderId="0" xfId="3" applyFont="1" applyFill="1"/>
    <xf numFmtId="0" fontId="32" fillId="5" borderId="0" xfId="2" applyFont="1" applyFill="1" applyAlignment="1">
      <alignment horizontal="left"/>
    </xf>
    <xf numFmtId="0" fontId="22" fillId="0" borderId="0" xfId="1" applyFont="1" applyAlignment="1">
      <alignment horizontal="left"/>
    </xf>
    <xf numFmtId="0" fontId="35" fillId="0" borderId="0" xfId="0" applyFont="1"/>
    <xf numFmtId="0" fontId="28" fillId="0" borderId="0" xfId="0" applyFont="1"/>
    <xf numFmtId="0" fontId="36" fillId="13" borderId="4" xfId="0" applyFont="1" applyFill="1" applyBorder="1" applyAlignment="1">
      <alignment vertical="center"/>
    </xf>
    <xf numFmtId="0" fontId="36" fillId="13" borderId="4" xfId="16" applyFont="1" applyFill="1" applyBorder="1" applyAlignment="1">
      <alignment vertical="center"/>
    </xf>
  </cellXfs>
  <cellStyles count="17">
    <cellStyle name="d" xfId="4" xr:uid="{00000000-0005-0000-0000-000000000000}"/>
    <cellStyle name="Normal" xfId="0" builtinId="0" customBuiltin="1"/>
    <cellStyle name="Normal 2" xfId="1" xr:uid="{00000000-0005-0000-0000-000002000000}"/>
    <cellStyle name="Normal 2 2" xfId="5" xr:uid="{00000000-0005-0000-0000-000003000000}"/>
    <cellStyle name="Normal 2 3" xfId="3" xr:uid="{00000000-0005-0000-0000-000004000000}"/>
    <cellStyle name="Normal 3" xfId="6" xr:uid="{00000000-0005-0000-0000-000005000000}"/>
    <cellStyle name="Normal 4" xfId="2" xr:uid="{00000000-0005-0000-0000-000006000000}"/>
    <cellStyle name="Normal 5" xfId="16" xr:uid="{00000000-0005-0000-0000-000007000000}"/>
    <cellStyle name="ParamD" xfId="7" xr:uid="{00000000-0005-0000-0000-000008000000}"/>
    <cellStyle name="ParamG" xfId="8" xr:uid="{00000000-0005-0000-0000-000009000000}"/>
    <cellStyle name="ResD" xfId="9" xr:uid="{00000000-0005-0000-0000-00000A000000}"/>
    <cellStyle name="ResG" xfId="10" xr:uid="{00000000-0005-0000-0000-00000B000000}"/>
    <cellStyle name="t" xfId="11" xr:uid="{00000000-0005-0000-0000-00000C000000}"/>
    <cellStyle name="Title 2" xfId="12" xr:uid="{00000000-0005-0000-0000-00000D000000}"/>
    <cellStyle name="TR_InputData" xfId="13" xr:uid="{00000000-0005-0000-0000-00000E000000}"/>
    <cellStyle name="TR_OutputData2" xfId="15" xr:uid="{00000000-0005-0000-0000-00000F000000}"/>
    <cellStyle name="TR_Title1" xfId="14" xr:uid="{00000000-0005-0000-0000-000010000000}"/>
  </cellStyles>
  <dxfs count="14"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Arial"/>
      </font>
    </dxf>
    <dxf>
      <font>
        <name val="Calibri"/>
        <family val="2"/>
        <scheme val="minor"/>
      </font>
    </dxf>
    <dxf>
      <border>
        <top style="thin">
          <color rgb="FFC2C2C2"/>
        </top>
        <bottom style="thin">
          <color rgb="FFC2C2C2"/>
        </bottom>
        <vertical/>
        <horizontal/>
      </border>
    </dxf>
    <dxf>
      <border>
        <top style="thin">
          <color rgb="FFC2C2C2"/>
        </top>
        <bottom style="thin">
          <color rgb="FFC2C2C2"/>
        </bottom>
        <vertical/>
        <horizontal/>
      </border>
    </dxf>
    <dxf>
      <font>
        <u val="none"/>
      </font>
    </dxf>
    <dxf>
      <font>
        <sz val="1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3"/>
      <tableStyleElement type="headerRow" dxfId="12"/>
    </tableStyle>
  </tableStyles>
  <colors>
    <mruColors>
      <color rgb="FFC2C2C2"/>
      <color rgb="FF3C3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Updated at 15:42:48</v>
        <stp/>
        <stp>55</stp>
        <stp>123320250</stp>
        <tr r="C16" s="1"/>
      </tp>
      <tp t="s">
        <v>Updated at 12:35:50</v>
        <stp/>
        <stp>41</stp>
        <stp>123320250</stp>
        <tr r="D1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1</xdr:row>
      <xdr:rowOff>47624</xdr:rowOff>
    </xdr:from>
    <xdr:to>
      <xdr:col>12</xdr:col>
      <xdr:colOff>0</xdr:colOff>
      <xdr:row>37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924925" y="466724"/>
          <a:ext cx="2609850" cy="6296026"/>
        </a:xfrm>
        <a:prstGeom prst="rect">
          <a:avLst/>
        </a:prstGeom>
        <a:solidFill>
          <a:srgbClr val="32AB60">
            <a:alpha val="30000"/>
          </a:srgbClr>
        </a:solidFill>
        <a:ln w="9525" cmpd="sng">
          <a:solidFill>
            <a:srgbClr val="32AB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F4 (Instrument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Select any valid RIC.  The TR function now supports all asset classes for retrieving Time Series market data.</a:t>
          </a:r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F5:F7 (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Enter in your Sdate,Edate, and Frequency parameter)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Users can now use one common syntax to align data coming from the Time Series database (TSI) with all content.  No need for an additional Rhistory function.</a:t>
          </a:r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F8 (Currency Conversions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Previously users could not convert Time Series data in the Rhistory function.  Using the CURN parameter in the TR function allows for this.</a:t>
          </a:r>
          <a:endParaRPr lang="en-US" sz="1000"/>
        </a:p>
        <a:p>
          <a:pPr fontAlgn="base"/>
          <a:endParaRPr lang="en-US" sz="1100" b="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F7 (Input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Frequency)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Select any frequency for Time Series data that is supported.</a:t>
          </a:r>
        </a:p>
        <a:p>
          <a:endParaRPr lang="en-US" sz="1100" b="0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D15:H15 (Data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Item selection)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Users can select data items across multiple categories which was previously not available in the Rhistory function.  I.E. pulling back a Bid price and Ask Price in the same function.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C16 (TR Function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Function that is used to pull back 5 Time Series data items over a range for  a single instrument.  Note that all the cell referencing capabilites in the TR function are available thus another way it is easier to pull back Time Series content.</a:t>
          </a:r>
          <a:endParaRPr lang="en-US"/>
        </a:p>
        <a:p>
          <a:endParaRPr lang="en-US" sz="1000" b="1" i="0" u="none">
            <a:solidFill>
              <a:srgbClr val="32AB6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2</xdr:row>
      <xdr:rowOff>9525</xdr:rowOff>
    </xdr:from>
    <xdr:to>
      <xdr:col>13</xdr:col>
      <xdr:colOff>247650</xdr:colOff>
      <xdr:row>40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782050" y="590550"/>
          <a:ext cx="2847975" cy="6324600"/>
        </a:xfrm>
        <a:prstGeom prst="rect">
          <a:avLst/>
        </a:prstGeom>
        <a:solidFill>
          <a:srgbClr val="32AB60">
            <a:alpha val="30000"/>
          </a:srgbClr>
        </a:solidFill>
        <a:ln w="9525" cmpd="sng">
          <a:solidFill>
            <a:srgbClr val="32AB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E12:I12 (Instruments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Select any valid RICs.  The TR function now supports all asset classes for retrieving Time Series market data. So users can mix and match Equity with FX Rates , Commodities, and Fixed income.  This is something new for the TR function and Time Series Data</a:t>
          </a:r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F5:F7 (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Enter in your Sdate,Edate, and Frequency parameter)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Users can now use one common syntax to align data coming from the Time Series database (TSI) with all content.  No need for an additional Rhistory function.</a:t>
          </a:r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F8 (Currency Conversions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Previously users could not convert Time Series data in the Rhistory function.  Using the CURN parameter in the TR function allows for this.</a:t>
          </a:r>
        </a:p>
        <a:p>
          <a:endParaRPr lang="en-US" sz="1100" b="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F9 (Null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Handling)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The TR function now supports the ability to pull back Previous and Next values for Nulls (Time Series data only)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F4 (Data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Item selection)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Choose a single data item to see how the time series function works with multiple instruments</a:t>
          </a:r>
          <a:endParaRPr lang="en-US" sz="1000"/>
        </a:p>
        <a:p>
          <a:pPr eaLnBrk="1" fontAlgn="base" latinLnBrk="0" hangingPunct="1"/>
          <a:endParaRPr lang="en-US" sz="1100" b="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Cell D13 (TR Function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Function that is used to pull back a single time series data item for multiple instruments (note across multiple asset classes)  A user can also enter in a portfolio or chain RIC as well and the function will support this.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000" b="1" i="0" u="none">
            <a:solidFill>
              <a:srgbClr val="32AB6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0040941/Desktop/TSI_ERT_Model_Fields_by_Asset_Clas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user" refreshedDate="42796.58647534722" createdVersion="3" refreshedVersion="3" minRefreshableVersion="3" recordCount="1532" xr:uid="{00000000-000A-0000-FFFF-FFFF01000000}">
  <cacheSource type="worksheet">
    <worksheetSource ref="A2:F1534" sheet="Sheet7" r:id="rId2"/>
  </cacheSource>
  <cacheFields count="6">
    <cacheField name="Asset Class Code" numFmtId="0">
      <sharedItems/>
    </cacheField>
    <cacheField name="Asset Class" numFmtId="0">
      <sharedItems count="36">
        <s v="Equities"/>
        <s v="Open Fund Units"/>
        <s v="Warrants"/>
        <s v="Exchange Traded Fund"/>
        <s v="Fixed Income Bonds - Convertible"/>
        <s v="Fixed Income Bonds - Floating Rate Note"/>
        <s v="Fixed Income Bonds Indices"/>
        <s v="Fixed Income Straight Bonds"/>
        <s v="Fixed Income Central Registration Depository"/>
        <s v="Fixed Income Loans"/>
        <s v="Fixed Income Yield Curve Derived"/>
        <s v="Financial Indices"/>
        <s v="Foreign Exchange Baskets"/>
        <s v="Foreign Exchange Fixings"/>
        <s v="Foreign Exchange Forward and Non-Deliverable Forward"/>
        <s v="Foreign Exchange Option Volatility"/>
        <s v="Foreign Exchange Spot Cross"/>
        <s v="Money Market Deposit and Short Term Paper including Tradeweb"/>
        <s v="Money Market_Fixings - Swap, Forward Rate Agreement, Deposit, Repurchase Agreement, Interest Rate"/>
        <s v="Money Market Interest Rate Swaps"/>
        <s v="Money Market Repurchase Agreement"/>
        <s v="Money Market Yield Curve Derived"/>
        <s v="Money Market and Foreign Exchange Financial Indices"/>
        <s v="Multi-Statistics"/>
        <s v="Poll Consensus"/>
        <e v="#N/A"/>
        <s v="Poll Contributor"/>
        <s v="Single-Statistics"/>
        <s v="Credit Default Swap Indices"/>
        <s v="Credit Default Swap Index Tranche"/>
        <s v="Credit Default Swap Single Company"/>
        <s v="Futures"/>
        <s v="Options"/>
        <s v="Spreads"/>
        <s v="Commodities Swaps"/>
        <s v="Commodity Precious Metals Spot"/>
      </sharedItems>
    </cacheField>
    <cacheField name="Fid" numFmtId="0">
      <sharedItems count="574">
        <s v="TRDPRC_1"/>
        <s v="ACVOL_UNS"/>
        <s v="OFFBK_VOL"/>
        <s v="BLKVOLUM"/>
        <s v="BID"/>
        <s v="ASK"/>
        <s v="MID_PRICE"/>
        <s v="VWAP"/>
        <s v="UPLIMIT"/>
        <s v="LOLIMIT"/>
        <s v="YIELD"/>
        <s v="ORDBK_VWAP"/>
        <s v="IND_AUC"/>
        <s v="IND_AUCVOL"/>
        <s v="HIGH_1"/>
        <s v="LOW_1"/>
        <s v="OPEN_PRC"/>
        <s v="TRNOVR_UNS"/>
        <s v="OFF_CLOSE"/>
        <s v="NUM_MOVES"/>
        <s v="REF_PRICE"/>
        <s v="EX_VOL_UNS"/>
        <s v="SETTLE"/>
        <s v="BASE_PRC1"/>
        <s v="ELG_ACVOL"/>
        <s v="MKT_LOW"/>
        <s v="MKT_HIGH"/>
        <s v="ACVOL_AFT"/>
        <s v="TURN_AFT"/>
        <s v="AMT_OS_UNS"/>
        <s v="PERATIO"/>
        <s v="INT_AUC"/>
        <s v="VWAP_VOL"/>
        <s v="MKTVAL_UNS"/>
        <s v="BLKCOUNT"/>
        <s v="SESSION1HI"/>
        <s v="SESSION1LO"/>
        <s v="SESSION2HI"/>
        <s v="SESSION2LO"/>
        <s v="SESS1_CLS"/>
        <s v="SESS2_OPEN"/>
        <s v="OPN_AUC"/>
        <s v="CLS_AUC"/>
        <s v="OPN_AUCVOL"/>
        <s v="CLS_AUCVOL"/>
        <s v="ORDBK_TRD"/>
        <s v="LTNOV_UNS"/>
        <s v="ODD_VOLUME"/>
        <s v="LST_TRD_PR"/>
        <s v="SHORT_TURN"/>
        <s v="SHORT_VOL"/>
        <s v="FRGN_ILMT"/>
        <s v="FRGN_OWN"/>
        <s v="FRGN_PLMT"/>
        <s v="ODD_PRC"/>
        <s v="FRGN_BVOL"/>
        <s v="DLR_BUYVOL"/>
        <s v="DLR_SELVOL"/>
        <s v="FRNHLD_RTO"/>
        <s v="FRNHLD_NET"/>
        <s v="FRNREM_RTO"/>
        <s v="ODD_TURN"/>
        <s v="REPORT_VOL"/>
        <s v="TRD_STATUS"/>
        <s v="OFFBK_TNOV"/>
        <s v="ALT_CLOSE"/>
        <s v="REF_PRC_2"/>
        <s v="REF_PRC_3"/>
        <s v="EARNINGS"/>
        <s v="SESS1_VOL"/>
        <s v="SESS2_VOL"/>
        <s v="SESS1_OPEN"/>
        <s v="BUYMARGIN"/>
        <s v="BUYMAR_NC"/>
        <s v="SELLMARGIN"/>
        <s v="MARGIN_RTO"/>
        <s v="SHTSLRTO"/>
        <s v="MA5"/>
        <s v="SESS_VWAP1"/>
        <s v="SESS_VWAP2"/>
        <s v="SHORT_LMT"/>
        <s v="SALTIM_MS"/>
        <s v="BLK_PRC1"/>
        <s v="INT_AUCVOL"/>
        <s v="MKT_OPEN"/>
        <s v="FR_LMSHAR"/>
        <s v="FRGN_ORDER"/>
        <s v="TOT_VALUE"/>
        <s v="ACVL_BASKT"/>
        <s v="AV_AFT_BLK"/>
        <s v="AV_AFT_BSK"/>
        <s v="AV_PRE_BLK"/>
        <s v="AV_PRE_BSK"/>
        <s v="AV_REG_BLK"/>
        <s v="AV_REG_BSK"/>
        <s v="FRGN_SVOL"/>
        <s v="TURN_ORDB"/>
        <s v="FRGN_BVAL"/>
        <s v="FRGN_SVAL"/>
        <s v="CAN_VOL"/>
        <s v="DOM_BVOL"/>
        <s v="DOM_SVOL"/>
        <s v="FR_SROWN"/>
        <s v="FR_ROWN"/>
        <s v="DOM_SOWN"/>
        <s v="FR_NROWN"/>
        <s v="C_AUCV_21D"/>
        <s v="C_AUCV_30D"/>
        <s v="C_AUCV_5D"/>
        <s v="AV_OFHBLK2"/>
        <s v="AV_REGBLK2"/>
        <s v="M_SHS_OFST"/>
        <s v="MRGN_ACVOL"/>
        <s v="MRGN_CSETL"/>
        <s v="MRGN_DSETL"/>
        <s v="MRGN_P_IFN"/>
        <s v="SH_SAL_POS"/>
        <s v="SHS_ACVOL"/>
        <s v="SHS_CSETL"/>
        <s v="SHS_DSETL"/>
        <s v="SHS_P_IFN"/>
        <s v="DRK_NUMMOV"/>
        <s v="SP_SHS_LMT"/>
        <s v="SP_SHS_AV"/>
        <s v="FRGN_NETTR"/>
        <s v="DOM_NETTR"/>
        <s v="PMA25"/>
        <s v="VWAP_TOT"/>
        <s v="LST_CLN_PR"/>
        <s v="PRIM_OPEN"/>
        <s v="URPT_SHVOL"/>
        <s v="MRGN_LMT"/>
        <s v="O_MRGN_RTO"/>
        <s v="O_SHS_RTO"/>
        <s v="SH_SAL_NC"/>
        <s v="REPO_RATE"/>
        <s v="SP_SHSTNOV"/>
        <s v="SP_SHS_PCT"/>
        <s v="SP_SHS10CP"/>
        <s v="LMT_REFPR2"/>
        <s v="DRK_ACVOL"/>
        <s v="DRK_TNOV"/>
        <s v="IRGVOL"/>
        <s v="ORDBK_VOL"/>
        <s v="NAVALUE"/>
        <s v="HST_CLOSE2"/>
        <s v="DIVIDEND"/>
        <s v="AUC_ONL_PR"/>
        <s v="DELTA"/>
        <s v="IMP_VOLT"/>
        <s v="IMP_VOLTA"/>
        <s v="IMP_VOLTB"/>
        <s v="AVG_BUY"/>
        <s v="AVG_SELL"/>
        <s v="AMT_ISSUE"/>
        <s v="PROT_PRC"/>
        <s v="PCT_WT_ISS"/>
        <s v="AVPRC_WT_B"/>
        <s v="AVPRC_WT_A"/>
        <s v="CB_PRICE"/>
        <s v="SYNCIDX_1D"/>
        <s v="IV_EXCH"/>
        <s v="PERIOD_CD2"/>
        <s v="BIDSIZE"/>
        <s v="ASKSIZE"/>
        <s v="FR_REM_PCT"/>
        <s v="YLDTOMAT"/>
        <s v="MID_YLD_1"/>
        <s v="NETCHNG_1"/>
        <s v="BMK_YIELD"/>
        <s v="YLDWST"/>
        <s v="YLDBST"/>
        <s v="THEO_PRC"/>
        <s v="CNV_PARITY"/>
        <s v="CNV_PREM"/>
        <s v="BOND_FLR"/>
        <s v="CNV_EDGE1"/>
        <s v="OPEN_ASK"/>
        <s v="ASK_HIGH_1"/>
        <s v="ASK_LOW_1"/>
        <s v="OPEN_YLD"/>
        <s v="HIGH_YLD"/>
        <s v="LOW_YLD"/>
        <s v="A_YLD_1"/>
        <s v="B_YLD_1"/>
        <s v="ACCR_INT"/>
        <s v="AUCTN_DATE"/>
        <s v="SMP_YIELD"/>
        <s v="CLOSE_YLD2"/>
        <s v="HIGH_YLD2"/>
        <s v="LOW_YLD2"/>
        <s v="OPEN_YLD2"/>
        <s v="TRTN_PRICE"/>
        <s v="INT_GV_SPD"/>
        <s v="AC_BASK_SZ"/>
        <s v="AC_BBID_SZ"/>
        <s v="AC_BQTE_SZ"/>
        <s v="MAX_DEALER"/>
        <s v="NUM_ACTQTE"/>
        <s v="LIQ_VALUE"/>
        <s v="CNV_PRICE"/>
        <s v="STOCK_PRC"/>
        <s v="CNV_RATIO"/>
        <s v="PAR_AMT"/>
        <s v="CREDIT_SPD"/>
        <s v="ASK_SPREAD"/>
        <s v="BID_SPREAD"/>
        <s v="CMP_YIELD"/>
        <s v="ISMA_B_YLD"/>
        <s v="ISMA_A_YLD"/>
        <s v="DISC_ASK1"/>
        <s v="DISC_BID1"/>
        <s v="SMP_MARGIN"/>
        <s v="DSC_MARGIN"/>
        <s v="CLEAN_PRC"/>
        <s v="DIRTY_PRC"/>
        <s v="COMP_DEPTH"/>
        <s v="MAC_DURTN"/>
        <s v="INT_BASIS"/>
        <s v="INT_CDS"/>
        <s v="DURATION"/>
        <s v="AVG_PRC1"/>
        <s v="MEDN_PRC"/>
        <s v="HI_AVGPRC"/>
        <s v="LO_AVGPRC"/>
        <s v="IBOR_SPRD"/>
        <s v="FRN_IDX_VL"/>
        <s v="NXT_CPNDUR"/>
        <s v="REF_CDS"/>
        <s v="FR_MARGIN"/>
        <s v="ASK_CL_DMG"/>
        <s v="ASK_H_DMG"/>
        <s v="ASK_L_DMG"/>
        <s v="ASK_O_DMG"/>
        <s v="BID_CL_DMG"/>
        <s v="BID_H_DMG"/>
        <s v="BID_L_DMG"/>
        <s v="BID_O_DMG"/>
        <s v="CDS_BASMAT"/>
        <s v="QTD_MARGIN"/>
        <s v="MID_CL_DMG"/>
        <s v="ASP1M"/>
        <s v="ASP3M"/>
        <s v="ASP6M"/>
        <s v="AST_SWPSPD"/>
        <s v="ZSPREAD"/>
        <s v="BEVEN_INF"/>
        <s v="CMP_YLD_A"/>
        <s v="CMP_YLD_B"/>
        <s v="REAL_YLDA"/>
        <s v="REAL_YLDB"/>
        <s v="MOD_DURTN"/>
        <s v="EFP_ASKYLD"/>
        <s v="EFP_BIDYLD"/>
        <s v="IND_PRC"/>
        <s v="UNDR_INDEX"/>
        <s v="IDX_BASE"/>
        <s v="IDX_RATIO"/>
        <s v="IDX_VALUE"/>
        <s v="BID_ZSPRD"/>
        <s v="ADJ_ASKPRC"/>
        <s v="ADJ_BIDPRC"/>
        <s v="REAL_YLDM"/>
        <s v="INT_BEI"/>
        <s v="BMK_SPD"/>
        <s v="MID_SPREAD"/>
        <s v="TOT_ISSUES"/>
        <s v="SWAP_SPRD"/>
        <s v="TRDVOL_1"/>
        <s v="CONVEXITY"/>
        <s v="BPV"/>
        <s v="OAS_BID"/>
        <s v="DAYS_MAT"/>
        <s v="STD_DEV"/>
        <s v="SWAP_SPRDB"/>
        <s v="BID_H_SPD"/>
        <s v="BID_L_SPD"/>
        <s v="BID_O_SPD"/>
        <s v="REF_YIELD"/>
        <s v="CM_YLD"/>
        <s v="ASK_CL_SPD"/>
        <s v="ASK_H_SPD"/>
        <s v="ASK_L_SPD"/>
        <s v="ASK_O_SPD"/>
        <s v="BID_CL_SPD"/>
        <s v="TOT_VOLUME"/>
        <s v="YLD_NETCHG"/>
        <s v="LOWER_SPRD"/>
        <s v="UPPER_SPRD"/>
        <s v="CURR_WAM"/>
        <s v="POOL_FACTR"/>
        <s v="OAS"/>
        <s v="AVG_LIFE"/>
        <s v="PSA"/>
        <s v="CPR"/>
        <s v="FAIR_VALUE"/>
        <s v="DISC_RATE"/>
        <s v="BMK_SPD2"/>
        <s v="VWAP_YLD"/>
        <s v="MTMPRC_1"/>
        <s v="MTMPRC_2"/>
        <s v="MTMPRC_3"/>
        <s v="MTMYLD_1"/>
        <s v="MTMYLD_2"/>
        <s v="MTMYLD_3"/>
        <s v="PARWTD_CPN"/>
        <s v="OA_CONVX"/>
        <s v="MOD_CONVX"/>
        <s v="ZR_OAS_PRC"/>
        <s v="OA_PVBP"/>
        <s v="OA_PVBP_CV"/>
        <s v="OPT_FR_YLD"/>
        <s v="OA_DURTN"/>
        <s v="M_OA_DURTN"/>
        <s v="M_OA_CONVX"/>
        <s v="REF_OAS"/>
        <s v="REF_OA_SPD"/>
        <s v="PRVPRE_RT1"/>
        <s v="OPEN_DISC"/>
        <s v="HIGH_DISC"/>
        <s v="LOW_DISC"/>
        <s v="WALA"/>
        <s v="TRD_YLD1"/>
        <s v="AVG_BUY_Y"/>
        <s v="AVG_ID_SEL"/>
        <s v="AVG_ID_SYD"/>
        <s v="AVG_SELL_Y"/>
        <s v="AVG_VOL"/>
        <s v="OIS_SPREAD"/>
        <s v="THEO_YLD"/>
        <s v="TED_SPREAD"/>
        <s v="BID_H_DISC"/>
        <s v="BID_L_DISC"/>
        <s v="BID_O_DISC"/>
        <s v="AVG_MTMYLD"/>
        <s v="AVG_MTMPRC"/>
        <s v="MEDN_CMPYD"/>
        <s v="MEDN_SMPYD"/>
        <s v="HIGH_CMPYD"/>
        <s v="HIGH_SMPYD"/>
        <s v="LOW_CMPYD"/>
        <s v="LOW_SMPYD"/>
        <s v="CMP_YLD_M"/>
        <s v="OPEN_AYLD"/>
        <s v="HIGH_AYLD"/>
        <s v="LOW_AYLD"/>
        <s v="REMPRN_BAL"/>
        <s v="ISSAMT_UNS"/>
        <s v="CARRY_COST"/>
        <s v="CRD_TOTAL"/>
        <s v="ROLL_DOWN"/>
        <s v="DSC_SPREAD"/>
        <s v="LOANSPD18M"/>
        <s v="LOANSPRD3Y"/>
        <s v="LOANSPRD4Y"/>
        <s v="LOANSPRD5Y"/>
        <s v="LOAN_SPD"/>
        <s v="LOAN_SPD_A"/>
        <s v="LOAN_SPD_B"/>
        <s v="DEFLT_PROB"/>
        <s v="H_DSCTFACT"/>
        <s v="HIGH_ZYLD"/>
        <s v="L_DSCTFACT"/>
        <s v="LOW_ZYLD"/>
        <s v="O_DSCTFACT"/>
        <s v="OPEN_ZYLD"/>
        <s v="ZERO_YLD1"/>
        <s v="DSCT_FACT"/>
        <s v="ANN_BID"/>
        <s v="ANN_ASK"/>
        <s v="BASE_CORR"/>
        <s v="CORR_30D"/>
        <s v="CORR_60D"/>
        <s v="CLS_PYLD"/>
        <s v="C_SHORT_RT"/>
        <s v="CV_MSPD100"/>
        <s v="CV_MSPD25"/>
        <s v="CV_MSPD500"/>
        <s v="HIGH_PYLD"/>
        <s v="H_SHORT_RT"/>
        <s v="FWDYLD_IMP"/>
        <s v="LOW_PYLD"/>
        <s v="L_SHORT_RT"/>
        <s v="MID_PREM"/>
        <s v="MID_STRIKE"/>
        <s v="UPF25MID"/>
        <s v="OPEN_PYLD"/>
        <s v="O_SHORT_RT"/>
        <s v="PAR_MID1"/>
        <s v="RATING_SPD"/>
        <s v="SECTOR_SPD"/>
        <s v="SUBSEC_SPD"/>
        <s v="SHORT_RATE"/>
        <s v="AVG_MAT"/>
        <s v="PAR_YLD1"/>
        <s v="ZR_RTN_IDX"/>
        <s v="ISSUES_ADV"/>
        <s v="ISSUES_DEC"/>
        <s v="MKT_VALUE"/>
        <s v="THEO_OPEN"/>
        <s v="SHRS_IDX"/>
        <s v="NUM_STOCKS"/>
        <s v="PCT1M"/>
        <s v="TOT_RETURN"/>
        <s v="EARN_YIELD"/>
        <s v="ALLSHR_PCT"/>
        <s v="NET_RETURN"/>
        <s v="IDX_DVSOR"/>
        <s v="AD_RTO_25D"/>
        <s v="NOM_WT_PCT"/>
        <s v="BAS_VL_UNS"/>
        <s v="OPEN_BID"/>
        <s v="BID_HIGH_1"/>
        <s v="BID_LOW_1"/>
        <s v="MID_HIGH"/>
        <s v="MID_LOW"/>
        <s v="MID_OPEN"/>
        <s v="NUM_BIDS"/>
        <s v="AMERCL_ASK"/>
        <s v="AMERCL_BID"/>
        <s v="AMERHI_ASK"/>
        <s v="AMERHI_BID"/>
        <s v="AMERLO_ASK"/>
        <s v="AMERLO_BID"/>
        <s v="AMEROP_ASK"/>
        <s v="AMEROP_BID"/>
        <s v="ASIACL_ASK"/>
        <s v="ASIACL_BID"/>
        <s v="ASIAHI_ASK"/>
        <s v="ASIAHI_BID"/>
        <s v="ASIALO_ASK"/>
        <s v="ASIALO_BID"/>
        <s v="ASIAOP_ASK"/>
        <s v="ASIAOP_BID"/>
        <s v="EURCL_ASK"/>
        <s v="EURCL_BID"/>
        <s v="EURHI_ASK"/>
        <s v="EURHI_BID"/>
        <s v="EURLO_ASK"/>
        <s v="EURLO_BID"/>
        <s v="EUROP_ASK"/>
        <s v="EUROP_BID"/>
        <s v="ASIA_CLOSE"/>
        <s v="EURO_CLOSE"/>
        <s v="AVERG_PRC"/>
        <s v="EURO_HIGH"/>
        <s v="EURO_LOW"/>
        <s v="EURO_OPEN"/>
        <s v="US_CLOSE"/>
        <s v="ASIA_HIGH"/>
        <s v="ASIA_LOW"/>
        <s v="ASIA_OPEN"/>
        <s v="US_HIGH"/>
        <s v="US_LOW"/>
        <s v="US_OPEN"/>
        <s v="QTE_NUMMOV"/>
        <s v="FIXING_1"/>
        <s v="SCALING"/>
        <s v="EXPIR_DATE"/>
        <s v="ASK_FWDOR"/>
        <s v="BID_FWDOR"/>
        <s v="FWDR_BASIS"/>
        <s v="STRIKE_PRC"/>
        <s v="PREMIUM"/>
        <s v="IMP_CORR"/>
        <s v="SKEWNESS"/>
        <s v="KURTOSIS"/>
        <s v="BID_PREM"/>
        <s v="ASK_PREM"/>
        <s v="BID_STRIKE"/>
        <s v="ASK_STRIKE"/>
        <s v="MONEYNESS"/>
        <s v="PRD_NUMMOV"/>
        <s v="PMA_10D"/>
        <s v="PMA_20D"/>
        <s v="PMA_5D"/>
        <s v="PV01"/>
        <s v="OPEN_PRC2"/>
        <s v="ASTSWPSD_A"/>
        <s v="ASTSWPSD_B"/>
        <s v="SWAP_SPRDA"/>
        <s v="ISSUES_UNC"/>
        <s v="NEW_LOWS"/>
        <s v="NEW_HIGHS"/>
        <s v="VOLADV_UNS"/>
        <s v="VOLDEC_UNS"/>
        <s v="VOLUNC_UNS"/>
        <s v="TOT_MOVES"/>
        <s v="ADV_DEC_RT"/>
        <s v="FCAST_DATE"/>
        <s v="EXCH_RATE"/>
        <s v="FCAST_HIGH"/>
        <s v="FCAST_LOW"/>
        <s v="FCAST_NUM"/>
        <s v="EFF_DATE"/>
        <s v="CTB_PRD"/>
        <s v="ECON_SFCT"/>
        <s v="FCAST_ACRY"/>
        <s v="FCAST_MEAN"/>
        <s v="FCAST_MEDN"/>
        <s v="FCAST_MODE"/>
        <s v="ECON_FCAST"/>
        <s v="CTB_RANK"/>
        <s v="OPINT_1"/>
        <s v="VOL_BUY"/>
        <s v="BID_NUMMOV"/>
        <s v="ASK_NUMMOV"/>
        <s v="AVG_PRC"/>
        <s v="TTL_NUMTRD"/>
        <s v="A_ACCQTY1"/>
        <s v="B_ACCQTY1"/>
        <s v="AC_AORD_SZ"/>
        <s v="AC_ASK_ORD"/>
        <s v="AC_BID_ORD"/>
        <s v="AC_BORD_SZ"/>
        <s v="BUYSEL_STR"/>
        <s v="PUTCAL_RTO"/>
        <s v="QUTA_REM"/>
        <s v="T_QUTA_REM"/>
        <s v="TOT_SELVOL"/>
        <s v="NBUY_VAL"/>
        <s v="NBUY_VOL"/>
        <s v="TOT_BUYVAL"/>
        <s v="TOT_SELVAL"/>
        <s v="CDS_DV01"/>
        <s v="RECOV_RATE"/>
        <s v="INDEX_SKEW"/>
        <s v="THEO_PRC_M"/>
        <s v="THEO_SPD_M"/>
        <s v="GAMMA"/>
        <s v="THETA"/>
        <s v="CDS_BASIS"/>
        <s v="ALT_ZSCORE"/>
        <s v="UPF100MID"/>
        <s v="UPF500MID"/>
        <s v="CPN_FIXED1"/>
        <s v="IRGPRC"/>
        <s v="IMP_YIELD"/>
        <s v="CONVX_BIAS"/>
        <s v="OPEN1"/>
        <s v="OPEN2"/>
        <s v="OPNRNGTP"/>
        <s v="EXERCISED"/>
        <s v="VOL_SELL"/>
        <s v="COMB_ACVOL"/>
        <s v="TURN_BLOCK"/>
        <s v="CLOSE1"/>
        <s v="CLOSE2"/>
        <s v="PRIMACT_1"/>
        <s v="VOL_X_PRC1"/>
        <s v="OPEN_TRD"/>
        <s v="OFF_BID"/>
        <s v="OFF_ASK"/>
        <s v="UNOFF_BID"/>
        <s v="UNOFF_ASK"/>
        <s v="THEO_VALUE"/>
        <s v="VEGA"/>
        <s v="RHO"/>
        <s v="30D_A_IM_C"/>
        <s v="30D_A_IM_P"/>
        <s v="60D_A_IM_C"/>
        <s v="60D_A_IM_P"/>
        <s v="90D_A_IM_C"/>
        <s v="90D_A_IM_P"/>
        <s v="VOL_OI_RTO"/>
        <s v="CABNT_PRC"/>
        <s v="STRGY_IMAZ"/>
        <s v="STRGY_IMBZ"/>
        <s v="STRGY_IMPA"/>
        <s v="STRGY_IMPB"/>
        <s v="YRHIGH"/>
        <s v="YRLOW"/>
        <s v="LIFE_HIGH"/>
        <s v="LIFE_LOW"/>
      </sharedItems>
    </cacheField>
    <cacheField name="Field Label" numFmtId="0">
      <sharedItems count="572">
        <s v="Close Price"/>
        <s v="Accumulated Volume"/>
        <s v="Accumulated Off Book Volume"/>
        <s v="Block Trade Volume"/>
        <s v="Bid Price"/>
        <s v="Ask Price"/>
        <s v="Mid Price"/>
        <s v="VWAP"/>
        <s v="Upper Trading Limit"/>
        <s v="Lower Trading Limit"/>
        <s v="Yield"/>
        <s v="Orderbook VWAP"/>
        <s v="Indicative Auction Price"/>
        <s v="Indicative Auction Volume"/>
        <s v="High Price"/>
        <s v="Low Price"/>
        <s v="Open Price"/>
        <s v="Turnover"/>
        <s v="Official Close Price"/>
        <s v="Number of Trades"/>
        <s v="Reference Price"/>
        <s v="Accumulated Source Reported Volume"/>
        <s v="Settlement Price"/>
        <s v="Base Price"/>
        <s v="Accumulated Eligible Trade Volume"/>
        <s v="Market Low Price"/>
        <s v="Market High Price"/>
        <s v="After Hour Accummulated Volume"/>
        <s v="After Hour Turnover"/>
        <s v="Total Number of Shares Outstanding"/>
        <s v="Price Earning Ratio"/>
        <s v="Intraday Auction Price"/>
        <s v="VWAP Volume"/>
        <s v="Market Capitalisation"/>
        <s v="Number of Block Trades"/>
        <s v="First Session High Price"/>
        <s v="First Session Low Price"/>
        <s v="Second Session High Price"/>
        <s v="Second Session Low Price"/>
        <s v="First Session Close Price"/>
        <s v="Second Session Open Price"/>
        <s v="Opening Auction Price"/>
        <s v="Closing Auction Price"/>
        <s v="Opening Auction Volume"/>
        <s v="Closing Auction Volume"/>
        <s v="Orderbook Close Price"/>
        <s v="Last Trade Turnover"/>
        <s v="Accumulated Odd Lot Trade Volume"/>
        <s v="Normal Trading Close Price"/>
        <s v="Shortsell Turnover"/>
        <s v="Accumulated Shortsell Trade Volume"/>
        <s v="Foreign Ownership Issue Limit Percentage"/>
        <s v="Number of Shares Owned by Foreign Investors"/>
        <s v="Foreign Ownership Personal Limit Percentage"/>
        <s v="Odd Lot Board Close Price"/>
        <s v="Foreigners Buy Volume"/>
        <s v="Dealers Trading Buy Volume"/>
        <s v="Dealers Trading Sell Volume"/>
        <s v="Foreign to Domestic Holding Ratio"/>
        <s v="Foreigner Net Hold Volume"/>
        <s v="Foreigner Remain Invest Ratio"/>
        <s v="Odd Lot Trade Turnover"/>
        <s v="All Reported Trades Aggregate Volume"/>
        <s v="Instrument Trading Status"/>
        <s v="Off Book Turnover"/>
        <s v="Alternate Close Price"/>
        <s v="Secondary Reference Price"/>
        <s v="Third Reference Price"/>
        <s v="Earnings Per Share"/>
        <s v="First Session Volume"/>
        <s v="Second Session Volume"/>
        <s v="First Session Open Price"/>
        <s v="Margin Buy Position"/>
        <s v="Margin Buy Net Change"/>
        <s v="Margin Sell Position"/>
        <s v="Margin Buy to Margin Sell Ratio"/>
        <s v="Short Sale Ratio"/>
        <s v="5 Days Moving Average"/>
        <s v="First Session VWAP"/>
        <s v="Second Session VWAP"/>
        <s v="Shortsell Limit"/>
        <s v="Last Trade Time in Milliseconds"/>
        <s v="Block Price"/>
        <s v="Intraday Auction Volume"/>
        <s v="Market Open Price"/>
        <s v="Maximum Shares Amount Available to Foreign Investors"/>
        <s v="Remaining Shares Quantity Available to Foreign Investors"/>
        <s v="Total Market Turnover"/>
        <s v="Accumulated Volume of Basket Trading"/>
        <s v="Accumulated Volume of After Hour Block Trading"/>
        <s v="Accumulated Volume of After Hour Basket Trading"/>
        <s v="Accumulated Volume of Pre Open Block Trading"/>
        <s v="Accumulated Volume of Pre Open Basket Trading"/>
        <s v="Accumulated Volume of Regular Session Block Trading"/>
        <s v="Accumulated Volume of Regular Session Basket Trading"/>
        <s v="Foreigners Sell Volume"/>
        <s v="Total Turnover of Order Book Trades"/>
        <s v="Total Turnover for Foreign Buy Trades"/>
        <s v="Total Turnover forForeign Sell Trades"/>
        <s v="Cancelled Trade Volume"/>
        <s v="Domestic Investors Buy Volume"/>
        <s v="Domestic Investors Sell Volume"/>
        <s v="Number of Shares Owned by Sub-regional Nationals"/>
        <s v="Number of Shares Owned By Regional Nationals"/>
        <s v="Number of Shares Owned By Domestic Nationals"/>
        <s v="Number of Shares Owned by Non-regional Nationals"/>
        <s v="21 Days Average Close Auction Volume"/>
        <s v="30 Days Average Close Auction Volumes"/>
        <s v="5 Days Average Close Auction Volume"/>
        <s v="Secondary Accumulated Volume of Off Hour Block Trading"/>
        <s v="Secondary Accumulated Volume of Regular Session Block Trading"/>
        <s v="Total Number of Margin and Shortsell Position Offsetted"/>
        <s v="Accumulated Bought in Margin Volume"/>
        <s v="Outstanding Margin Buy Positions Settled by Paying in Full"/>
        <s v="Outstanding Margin Buy Positions Settled by Delivering"/>
        <s v="Outstanding Financial Institutes Margin Buy Positions"/>
        <s v="Number of Shortsell Positions"/>
        <s v="Shortsell Accumulated Volume"/>
        <s v="Outstanding Shortsell Positions Settled by Paying in Full"/>
        <s v="Outstanding Shortsell Positions Settled By Instrument Delivery"/>
        <s v="Outstanding Financial Institutes Shortsell Positions"/>
        <s v="Number of Dark Trades"/>
        <s v="Special Trade Scheme Shortsell Limit"/>
        <s v="Special Trade Scheme Total Shortsell Volume"/>
        <s v="Net Trading Value By Foreign Investors"/>
        <s v="Net Trading Value By Domestic Investors"/>
        <s v="25 Day Price Moving Averages"/>
        <s v="Total Market VWAP"/>
        <s v="Last Clean Price"/>
        <s v="Primary Listing Unadjusted Open Price"/>
        <s v="Non-reported Shortsell Total Volume"/>
        <s v="Margin Buy Limit"/>
        <s v="Outstanding Margin Buy Ratio"/>
        <s v="Outstanding Short Sale Ratio"/>
        <s v="Shortsell Position Net Change"/>
        <s v="Repo Rate"/>
        <s v="Shortsell Turnover for Special Trade Scheme"/>
        <s v="Daily Shortsell Percentage for Special Trade Scheme "/>
        <s v="10 Day Cumulative Shortselling Percentage for Special Trade"/>
        <s v="Reference Price for Price Limit Calculation"/>
        <s v="Accumulated Dark Trade Volume"/>
        <s v="Total Dark Turnover"/>
        <s v="Irregular Trade Volume"/>
        <s v="Orderbook Trade Volume"/>
        <s v="Net Asset Value"/>
        <s v="Alternate Market Close Price"/>
        <s v="Annualized Dividend"/>
        <s v="Auction Only Price"/>
        <s v="Delta"/>
        <s v="Implied Volatility"/>
        <s v="Implied Volatility of Ask Price"/>
        <s v="Implied Volatility of Bid Price"/>
        <s v="Average Buy Price"/>
        <s v="Average Sell Price"/>
        <s v="Total Amount of Shares Issued"/>
        <s v="Knock Out Price"/>
        <s v="Percent of Warrant issued"/>
        <s v="Warrants Bought Average Price"/>
        <s v="Warrants Sold Average Price"/>
        <s v="Circuit Breaker Price"/>
        <s v="Sync Index 1 Day"/>
        <s v="Exchange Provided Implied Volatility"/>
        <s v="Period Code"/>
        <s v="Bid Size"/>
        <s v="Ask Size"/>
        <s v="Remain Percentage of Shares for Foreign Investors"/>
        <s v="Yield to Maturity"/>
        <s v="Mid Yield"/>
        <s v="Net Change"/>
        <s v="Benchmark Bond Yield"/>
        <s v="Yield to Worst"/>
        <s v="Yield to Best"/>
        <s v="Theoretical Price"/>
        <s v="Conversion Parity"/>
        <s v="Conversion Premium"/>
        <s v="Bond Floor"/>
        <s v="Convertible Edge"/>
        <s v="Open Ask Price"/>
        <s v="High Ask Price"/>
        <s v="Low Ask Price"/>
        <s v="Open Yield"/>
        <s v="High Yield"/>
        <s v="Low Yield"/>
        <s v="Ask Yield"/>
        <s v="Bid Yield"/>
        <s v="Accrued Interest"/>
        <s v="Auction Date"/>
        <s v="Simple Yield"/>
        <s v="Second Close Yield"/>
        <s v="Second High Yield"/>
        <s v="Second Low Yield"/>
        <s v="Second Open Yield"/>
        <s v="Daily Total Return"/>
        <s v="Interpolated Government Spread"/>
        <s v="Accumulated Best Ask Size"/>
        <s v="Accumulated Best Bid Size"/>
        <s v="Accumulated Total of Best Bid and Ask Sizes"/>
        <s v="Maximum Number of Dealers"/>
        <s v="Total Number of Active Best Bid and Ask Quotes"/>
        <s v="Liquidity Value"/>
        <s v="Conversion Price"/>
        <s v="Stock Price"/>
        <s v="Conversion Ratio"/>
        <s v="Par Amount"/>
        <s v="Credit Spread"/>
        <s v="Ask Spread"/>
        <s v="Bid Spread"/>
        <s v="Compound Yield"/>
        <s v="ISMA Bid Yield"/>
        <s v="ISMA Ask Yield"/>
        <s v="Ask Discount"/>
        <s v="Bid Discount"/>
        <s v="Simple Margin"/>
        <s v="Discount Margin"/>
        <s v="Clean Price"/>
        <s v="Dirty Price"/>
        <s v="Number of Contributors"/>
        <s v="Macaulay Duration"/>
        <s v="Spread between Interpolated CDS Spread and Z Spread of Bond"/>
        <s v="Interpolated CDS Spread"/>
        <s v="Total Duration"/>
        <s v="Average Price for Fixed Income Instruments"/>
        <s v="Median Price"/>
        <s v="High Average Price"/>
        <s v="Low Average Price"/>
        <s v="Interbank Offered Rate Spread"/>
        <s v="Floating Rate Note Index Value"/>
        <s v="Next Coupon Duration"/>
        <s v="Reference Credit Default Swap"/>
        <s v="Floating Rate Margin"/>
        <s v="Ask Close Discount Margin"/>
        <s v="Ask High Discount Margin"/>
        <s v="Ask Low Discount Margin"/>
        <s v="Ask Open Discount Margin"/>
        <s v="Bid Close Discount Margin"/>
        <s v="Bid High Discount Margin"/>
        <s v="Bid Low Discount Margin"/>
        <s v="Bid Open Discount Margin"/>
        <s v="Closest to Maturity CDS Basis"/>
        <s v="Quoted Margin for FRN"/>
        <s v="Mid Close Discount Margin"/>
        <s v="Asset Swap Spread 1M"/>
        <s v="Asset Swap Spread 3M"/>
        <s v="Asset Swap Spread 6M"/>
        <s v="Asset Swap Spread"/>
        <s v="Z Spread"/>
        <s v="Breakeven Inflation"/>
        <s v="Ask Compound Yield"/>
        <s v="Bid Compound Yield"/>
        <s v="Ask Real Yield"/>
        <s v="Bid Real Yield"/>
        <s v="Modified Duration"/>
        <s v="Exchange for Physical Ask Yield Spread"/>
        <s v="Exchange for Physical Bid Yield Spread"/>
        <s v="Indicative Price"/>
        <s v="Underlying Index"/>
        <s v="Base Index"/>
        <s v="Index Ratio"/>
        <s v="Index Value"/>
        <s v="Bid Z Spread"/>
        <s v="Adjusted Ask Price"/>
        <s v="Adjusted Bid Price"/>
        <s v="Mid Real Yield"/>
        <s v="Interpolated Breakeven Inflation"/>
        <s v="Benchmark Spread"/>
        <s v="Mid Spread"/>
        <s v="Total Issues"/>
        <s v="Swap Spread"/>
        <s v="Trade Volume"/>
        <s v="Convexity"/>
        <s v="Basis Point Value"/>
        <s v="Option Adjusted Spread Bid"/>
        <s v="Days to Maturity"/>
        <s v="Standard Deviation"/>
        <s v="Swap Spread Bid"/>
        <s v="Bid High Spread "/>
        <s v="Bid Low Spread "/>
        <s v="Bid Open Spread "/>
        <s v="Reference Yield"/>
        <s v="Constant Maturity Yield"/>
        <s v="Close Ask Spread"/>
        <s v="Ask High Spread "/>
        <s v="Ask Low Spread"/>
        <s v="Ask Open Spread "/>
        <s v="Close Bid Spread"/>
        <s v="Total Volume"/>
        <s v="Yield Net Change"/>
        <s v="Lower Spread"/>
        <s v="Upper Spread"/>
        <s v="Current Weighted Average Maturity"/>
        <s v="Pool Factor"/>
        <s v="Option Adjusted Spread"/>
        <s v="Average Life"/>
        <s v="PSA Mortgage Prepayment Speed"/>
        <s v="Constant Prepayment Rate"/>
        <s v="Fair Value"/>
        <s v="Discount Rate"/>
        <s v="Second Benchmark Spread"/>
        <s v="Volume Weighted Average Yield"/>
        <s v="Mark to Market Price 1 "/>
        <s v="Mark to Market Price 2"/>
        <s v="Mark to Market Price 3"/>
        <s v="Mark to Market Yield 1"/>
        <s v="Mark to Market Yield 2"/>
        <s v="Mark to Market Yield 3"/>
        <s v="Weighted Average Coupon Using Par Value"/>
        <s v="Option Adjusted Convexity"/>
        <s v="Modified Convexity"/>
        <s v="Zero Option Adjusted Price"/>
        <s v="Option Adjusted Price Value Basis Point"/>
        <s v="Option Adjusted Price Value Basis Point Conversion"/>
        <s v="Option Free Yield"/>
        <s v="Option Adjusted Duration"/>
        <s v="Modified Option Adjusted Duration"/>
        <s v="Modified Option Adjusted Convexity"/>
        <s v="Reference Option Adjusted Spread Price"/>
        <s v="Reference Option Adjusted Spread"/>
        <s v="Previous Prepayment Rate"/>
        <s v="Open Discount"/>
        <s v="High Discount"/>
        <s v="Low Discount"/>
        <s v="Weighted Average Loan Age"/>
        <s v="Close Yield"/>
        <s v="Average Buy Yield"/>
        <s v="Average Price for Inter Dealer Trades"/>
        <s v="Average Yield for Inter Dealer Trades"/>
        <s v="Average Sell Yield"/>
        <s v="Average Trade Volume"/>
        <s v="Overnight Indexed Swap OIS Spread"/>
        <s v="Theoretical Yield"/>
        <s v="TED Spread"/>
        <s v="High Bid Discount"/>
        <s v="Low Bid Discount"/>
        <s v="Open Bid Discount"/>
        <s v="Average Mark to market Yield"/>
        <s v="Average Mark to Market Price"/>
        <s v="Median Compound Yield"/>
        <s v="Median Simple Yield"/>
        <s v="High Compound Yield"/>
        <s v="High Simple Yield"/>
        <s v="Low Compound Yield"/>
        <s v="Low Simple Yield"/>
        <s v="Mid Compound Yield"/>
        <s v="Open Ask Yield"/>
        <s v="High Ask Yield"/>
        <s v="Low Ask Yield"/>
        <s v="Remaining Principal Balance"/>
        <s v="Issue Amount"/>
        <s v="Carry Cost"/>
        <s v="Carry Roll-down Total"/>
        <s v="Roll-down"/>
        <s v="Discount Spread"/>
        <s v="18 Month Loan Spread"/>
        <s v="3 Year Load Spread"/>
        <s v="4 Year Load Spread"/>
        <s v="5 Year Load Spread"/>
        <s v="Loan Spread"/>
        <s v="Ask Loan Spread"/>
        <s v="Bid Loan Spread"/>
        <s v="Default Probability"/>
        <s v="High Discount Factor"/>
        <s v="High Zero Yield"/>
        <s v="Low Discount Factor"/>
        <s v="Low Zero Yield"/>
        <s v="Open Discount Factor"/>
        <s v="Open Zero Yield"/>
        <s v="Zero Yield"/>
        <s v="Discount Factor"/>
        <s v="Annualized Ask Price"/>
        <s v="Annualized Bid Price"/>
        <s v="Base Correlation"/>
        <s v="CDS 30 Days Correlation"/>
        <s v="CDS 60 Days Correlation"/>
        <s v="Close Par Yield"/>
        <s v="Close Short Rate"/>
        <s v="Convention Mid Spread 100 Coupon"/>
        <s v="Convention Mid Spread 25 Coupon"/>
        <s v="Convention Mid Spread 500 Coupon"/>
        <s v="High Par Yield"/>
        <s v="High Short Rate"/>
        <s v="Implied Forward Yield"/>
        <s v="Low Par Yield"/>
        <s v="Low Short Rate"/>
        <s v="Mid Price Premium"/>
        <s v="Mid Strike Price"/>
        <s v="Mid Upfront 25 Coupon"/>
        <s v="Open Par Yield"/>
        <s v="Open Short Rate"/>
        <s v="Par Mid Spread"/>
        <s v="Spread Over Rating"/>
        <s v="Spread Over Sector"/>
        <s v="Spread Over Sub Sector"/>
        <s v="Short Rate"/>
        <s v="Average Maturity"/>
        <s v="Par Yield"/>
        <s v="Zero Reinvestment Index"/>
        <s v="Issues Advanced"/>
        <s v="Issues Declined"/>
        <s v="Market Capitalization"/>
        <s v="Theoretical Open"/>
        <s v="Number of Listed Shares"/>
        <s v="Number Of Stocks"/>
        <s v="1 Month Percentage Change"/>
        <s v="Total Return Yield"/>
        <s v="Eaning Yield"/>
        <s v="Weighting Percentage of All Share Index"/>
        <s v="Net Return"/>
        <s v="Index Divisor"/>
        <s v="25 Days Mean Advance-Decline Ratio"/>
        <s v="Nominal Amount Outstanding Weighting Percentage of Market Index"/>
        <s v="Open Bid Price"/>
        <s v="High Bid Price"/>
        <s v="Low Bid Price"/>
        <s v="High Mid Price"/>
        <s v="Low Mid Price"/>
        <s v="Open Mid Price"/>
        <s v="Number of Bids"/>
        <s v="America  Close Ask Price"/>
        <s v="America  Close Bid Price"/>
        <s v="America  High Ask Price"/>
        <s v="America  High Bid Price"/>
        <s v="America  Low Ask Price"/>
        <s v="America  Low Bid Price"/>
        <s v="America  Open Ask Price"/>
        <s v="America  Open Bid Price"/>
        <s v="Asia Close Ask Price"/>
        <s v="Asia Close Bid Price"/>
        <s v="Asia High Ask Price"/>
        <s v="Asia High Bid Price"/>
        <s v="Asia Low Ask Price"/>
        <s v="Asia Low Bid Price"/>
        <s v="Asia Open Ask Price"/>
        <s v="Asia Open Bid Price"/>
        <s v="Europe Close Ask Price"/>
        <s v="Europe Close Bid Price"/>
        <s v="Europe High Ask Price"/>
        <s v="Europe High Bid Price"/>
        <s v="Europe Low Ask Price"/>
        <s v="Europe Low Bid Price"/>
        <s v="Europe Open Ask Price"/>
        <s v="Europe Open Bid Price"/>
        <s v="Asia Closing Trade Price"/>
        <s v="Europe Closing Trade Price"/>
        <s v="Average Price"/>
        <s v="Europe High Trade Price"/>
        <s v="Europe Low Trade Price"/>
        <s v="Europe Open Trade Price"/>
        <s v="US Closing Trade Price"/>
        <s v="Asia High Trade Price"/>
        <s v="Asia Low Trade Price"/>
        <s v="Asia Open Trade Price"/>
        <s v="US High Trade Price"/>
        <s v="US Low Trade Price"/>
        <s v="US Open Trade Price"/>
        <s v="Number of Quotations"/>
        <s v="Fixing Value"/>
        <s v="Scaling Factor"/>
        <s v="Expiry Date"/>
        <s v="Forward Outright Ask Price"/>
        <s v="Forward Outright Bid Price"/>
        <s v="Forward Outright Basis Point"/>
        <s v="Strike Price"/>
        <s v="Premium"/>
        <s v="Implied Correlation"/>
        <s v="Skewness"/>
        <s v="Kurtosis"/>
        <s v="Bid Price Premium"/>
        <s v="Ask Price Premium"/>
        <s v="Bid Strike Price"/>
        <s v="Ask Strike Price"/>
        <s v="Moneyness"/>
        <s v="Number of Trades during Predefined Period"/>
        <s v="10 Day Moving Average"/>
        <s v="20 Day Moving Average"/>
        <s v="5 Day Moving Average"/>
        <s v="Price Variation per Basis Point"/>
        <s v="Alternate Market Open Price"/>
        <s v="Asset Swap Spread Ask"/>
        <s v="Asset Swap Spread Bid"/>
        <s v="Swap Spread Ask"/>
        <s v="Issues Unchanged"/>
        <s v="New Lows"/>
        <s v="New Highs"/>
        <s v="Advancing Volume"/>
        <s v="Declining Volume"/>
        <s v="Unchanged Volume"/>
        <s v="Total Moves"/>
        <s v="Advance Decline Ratio"/>
        <s v="Forecast Date"/>
        <s v="Exchange Rate"/>
        <s v="High Forecast"/>
        <s v="Low Forecast"/>
        <s v="Number of Forecasts"/>
        <s v="Effective Date"/>
        <s v="Lookback Period"/>
        <s v="Weighted Forecast"/>
        <s v="Forecast Accuracy"/>
        <s v="Forecast Mean"/>
        <s v="Forecast Median"/>
        <s v="Forecast Mode"/>
        <s v="Economic Indicator Forecast"/>
        <s v="Contributor Ranking"/>
        <s v="Open Interest"/>
        <s v="Total Buy Volume"/>
        <s v="Number of Bid Traded Order"/>
        <s v="Number of Ask Traded Order"/>
        <s v="Average Price of First Best Bid and Ask"/>
        <s v="Total Number of Trade"/>
        <s v="Total Sell Order"/>
        <s v="Total Buy Order"/>
        <s v="Accumulated Ask Side Shares Received"/>
        <s v="Accumulated Ask Orders"/>
        <s v="Accumulated Bid Orders"/>
        <s v="Accumulated Bid Side Shares Received"/>
        <s v="Buy Sell Strength Indicator"/>
        <s v="Put Call Ratio"/>
        <s v="Remaining Trade Quota"/>
        <s v="Total Remaining Trade Quota"/>
        <s v="Total Sell Volume"/>
        <s v="Net Buy Value.  "/>
        <s v="Net Buy Volume "/>
        <s v="Total Buy Value"/>
        <s v="Total Sell Value "/>
        <s v="CDS Dollar Variation per Basis Point"/>
        <s v="Recovery Rate"/>
        <s v="Index Skew"/>
        <s v="Theoretical Mid Price"/>
        <s v="Theoretical Mid Spread"/>
        <s v="Gamma"/>
        <s v="Theta"/>
        <s v="CDS Basis"/>
        <s v="Altman Z Score"/>
        <s v="Mid Upfront 100 Coupon"/>
        <s v="Mid Upfront 500 Coupon"/>
        <s v="Fixed Coupon"/>
        <s v="Irregular Trade Price"/>
        <s v="Implied Yield"/>
        <s v="Convexity Bias"/>
        <s v="First Open Price"/>
        <s v="Second Open Price"/>
        <s v="Open Range Price Type"/>
        <s v="Number of Contracts Exercised"/>
        <s v="Sell Volume"/>
        <s v="Combined Accumulated Volume"/>
        <s v="Block and Basket Trades Turnover"/>
        <s v="First Close Price"/>
        <s v="Second Close Price"/>
        <s v="Last Update Value"/>
        <s v="First Traded Price"/>
        <s v="Official Bid Price"/>
        <s v="Official Ask Price"/>
        <s v="Unofficial Bid Price"/>
        <s v="Unofficial Ask Price"/>
        <s v="Theoretical Value"/>
        <s v="Vega"/>
        <s v="Rho"/>
        <s v="30 Day At-The-Money Implied Volatility Index for Call Options"/>
        <s v="30 Day At-The-Money Implied Volatility Index for Put Options"/>
        <s v="60 Day At-The-Money Implied Volatility Index for Call Options"/>
        <s v="60 Day At-The-Money Implied Volatility Index for Put Options"/>
        <s v="90 Day At-The-Money Implied Volatility Index for Call Options"/>
        <s v="90 Day At-The-Money Implied Volatility Index for Put Options"/>
        <s v="Volume Open Interest Ratio"/>
        <s v="Cabinet Trade Price"/>
        <s v="Bid Size at Implied Best Ask Price"/>
        <s v="Bid Size at Implied Best Bid Price"/>
        <s v="Latest Implied Best Ask Price"/>
        <s v="Latest Implied Best Bid Price"/>
        <s v="Year High"/>
        <s v="Year Low"/>
        <s v="Life High"/>
        <s v="Life Low"/>
      </sharedItems>
    </cacheField>
    <cacheField name="ADC Code" numFmtId="0">
      <sharedItems count="544">
        <s v="TR.CLOSEPRICE"/>
        <s v="TR.ACCUMULATEDVOLUME"/>
        <s v="TR.ACCUMULATEDOFFBOOKVOLUME"/>
        <s v="TR.BLOCKTRADEVOLUME"/>
        <s v="TR.BIDPRICE"/>
        <s v="TR.ASKPRICE"/>
        <s v="TR.MIDPRICE"/>
        <s v="TR.TSVWAP"/>
        <s v="TR.UPPERTRADINGLIMIT"/>
        <s v="TR.LOWERTRADINGLIMIT"/>
        <s v="TR.YIELD"/>
        <s v="TR.ORDERBOOKVWAP"/>
        <s v="TR.INDICATIVEAUCTIONPRICE"/>
        <s v="TR.INDICATIVEAUCTIONVOLUME"/>
        <s v="TR.HIGHPRICE"/>
        <s v="TR.LOWPRICE"/>
        <s v="TR.OPENPRICE"/>
        <s v="TR.TURNOVER"/>
        <s v="TR.OFFICIALCLOSEPRICE"/>
        <s v="TR.NUMBEROFTRADES"/>
        <s v="TR.REFERENCEPRICE"/>
        <s v="TR.ACCUMULATEDSOURCEREPORTEDVOLUME"/>
        <s v="TR.SETTLEMENTPRICE"/>
        <s v="TR.BASEPRICE"/>
        <s v="TR.ACCUMULATEDELIGIBLETRADEVOLUME"/>
        <s v="TR.MARKETLOWPRICE"/>
        <s v="TR.MARKETHIGHPRICE"/>
        <s v="TR.AFTERHOURACCUMMULATEDVOLUME"/>
        <s v="TR.AFTERHOURTURNOVER"/>
        <s v="TR.TOTALNUMBEROFSHARESOUTSTANDING"/>
        <s v="TR.PRICEEARNINGRATIO"/>
        <s v="TR.INTRADAYAUCTIONPRICE"/>
        <s v="TR.VWAPVOLUME"/>
        <s v="TR.MARKETCAPITALISATION"/>
        <s v="TR.NUMBEROFBLOCKTRADES"/>
        <s v="TR.FIRSTSESSIONHIGHPRICE"/>
        <s v="TR.FIRSTSESSIONLOWPRICE"/>
        <s v="TR.SECONDSESSIONHIGHPRICE"/>
        <s v="TR.SECONDSESSIONLOWPRICE"/>
        <s v="TR.FIRSTSESSIONCLOSEPRICE"/>
        <s v="TR.SECONDSESSIONOPENPRICE"/>
        <s v="TR.OPENINGAUCTIONPRICE"/>
        <s v="TR.CLOSINGAUCTIONPRICE"/>
        <s v="TR.OPENINGAUCTIONVOLUME"/>
        <s v="TR.CLOSINGAUCTIONVOLUME"/>
        <s v="TR.ORDERBOOKCLOSEPRICE"/>
        <s v="TR.LASTTRADETURNOVER"/>
        <s v="TR.ACCUMULATEDODDLOTTRADEVOLUME"/>
        <s v="TR.NORMALTRADINGCLOSEPRICE"/>
        <s v="TR.SHORTSELLTURNOVER"/>
        <s v="TR.ACCUMULATEDSHORTSELLTRADEVOLUME"/>
        <s v="TR.FOREIGNOWNERSHIPISSUELIMITPERCENTAGE"/>
        <s v="TR.NUMBEROFSHARESOWNEDBYFOREIGNINVESTORS"/>
        <s v="TR.FOREIGNOWNERSHIPPERSONALLIMITPERCENTAGE"/>
        <s v="TR.ODDLOTBOARDCLOSEPRICE"/>
        <s v="TR.FOREIGNERSBUYVOLUME"/>
        <s v="TR.DEALERSTRADINGBUYVOLUME"/>
        <s v="TR.DEALERSTRADINGSELLVOLUME"/>
        <s v="TR.FOREIGNTODOMESTICHOLDINGRATIO"/>
        <s v="TR.FOREIGNERNETHOLDVOLUME"/>
        <s v="TR.FOREIGNERREMAININVESTRATIO"/>
        <s v="TR.ODDLOTTRADETURNOVER"/>
        <s v="TR.ALLREPORTEDTRADESAGGREGATEVOLUME"/>
        <s v="TR.INSTRUMENTTRADINGSTATUS"/>
        <s v="TR.OFFBOOKTURNOVER"/>
        <s v="TR.ALTERNATECLOSEPRICE"/>
        <s v="TR.SECONDARYREFERENCEPRICE"/>
        <s v="TR.THIRDREFERENCEPRICE"/>
        <s v="TR.EARNINGSPERSHARE"/>
        <s v="TR.FIRSTSESSIONVOLUME"/>
        <s v="TR.SECONDSESSIONVOLUME"/>
        <s v="TR.FIRSTSESSIONOPENPRICE"/>
        <s v="TR.MARGINBUYPOSITION"/>
        <s v="TR.MARGINBUYNETCHANGE"/>
        <s v="TR.MARGINSELLPOSITION"/>
        <s v="TR.MARGINBUYTOMARGINSELLRATIO"/>
        <s v="TR.SHORTSALERATIO"/>
        <s v="TR.5DAYSMOVINGAVERAGE"/>
        <s v="TR.FIRSTSESSIONVWAP"/>
        <s v="TR.SECONDSESSIONVWAP"/>
        <s v="TR.SHORTSELLLIMIT"/>
        <s v="TR.LASTTRADETIMEINMILLISECONDS"/>
        <s v="TR.BLOCKPRICE"/>
        <s v="TR.INTRADAYAUCTIONVOLUME"/>
        <s v="TR.MARKETOPENPRICE"/>
        <s v="TR.MAXIMUMSHARESAMOUNTAVAILABLETOFOREIGNINVESTORS"/>
        <s v="TR.REMAININGSHARESQUANTITYAVAILABLETOFOREIGNINVESTORS"/>
        <s v="TR.TOTALMARKETTURNOVER"/>
        <s v="TR.ACCUMULATEDVOLUMEOFBASKETTRADING"/>
        <s v="TR.ACCUMULATEDVOLUMEOFAFTERHOURBLOCKTRADING"/>
        <s v="TR.ACCUMULATEDVOLUMEOFAFTERHOURBASKETTRADING"/>
        <s v="TR.ACCUMULATEDVOLUMEOFPREOPENBLOCKTRADING"/>
        <s v="TR.ACCUMULATEDVOLUMEOFPREOPENBASKETTRADING"/>
        <s v="TR.ACCUMULATEDVOLUMEOFREGULARSESSIONBLOCKTRADING"/>
        <s v="TR.ACCUMULATEDVOLUMEOFREGULARSESSIONBASKETTRADING"/>
        <s v="TR.FOREIGNERSSELLVOLUME"/>
        <s v="TR.TOTALTURNOVEROFORDERBOOKTRADES"/>
        <s v="TR.TOTALTURNOVERFORFOREIGNBUYTRADES"/>
        <s v="TR.TOTALTURNOVERFORFOREIGNSELLTRADES"/>
        <s v="TR.CANCELLEDTRADEVOLUME"/>
        <s v="TR.DOMESTICINVESTORSBUYVOLUME"/>
        <s v="TR.DOMESTICINVESTORSSELLVOLUME"/>
        <s v="TR.NUMBEROFSHARESOWNEDBYSUBREGIONALNATIONALS"/>
        <s v="TR.NUMBEROFSHARESOWNEDBYREGIONALNATIONALS"/>
        <s v="TR.NUMBEROFSHARESOWNEDBYDOMESTICNATIONALS"/>
        <s v="TR.NUMBEROFSHARESOWNEDBYNONREGIONALNATIONALS"/>
        <s v="TR.21DAYSAVERAGECLOSEAUCTIONVOLUME"/>
        <s v="TR.30DAYSAVERAGECLOSEAUCTIONVOLUMES"/>
        <s v="TR.5DAYSAVERAGECLOSEAUCTIONVOLUME"/>
        <s v="TR.SECONDARYACCUMULATEDVOLUMEOFOFFHOURBLOCKTRADING"/>
        <s v="TR.SECONDARYACCUMULATEDVOLUMEOFREGULARSESSIONBLOCKTRADING"/>
        <s v="TR.TOTALNUMBEROFMARGINANDSHORTSELLPOSITIONOFFSETTED"/>
        <s v="TR.ACCUMULATEDBOUGHTINMARGINVOLUME"/>
        <s v="TR.OUTSTANDINGMARGINBUYPOSITIONSSETTLEDBYPAYINGINFULL"/>
        <s v="TR.OUTSTANDINGMARGINBUYPOSITIONSSETTLEDBYDELIVERING"/>
        <s v="TR.OUTSTANDINGFINANCIALINSTITUTESMARGINBUYPOSITIONS"/>
        <s v="TR.NUMBEROFSHORTSELLPOSITIONS"/>
        <s v="TR.SHORTSELLACCUMULATEDVOLUME"/>
        <s v="TR.OUTSTANDINGSHORTSELLPOSITIONSSETTLEDBYPAYINGINFULL"/>
        <s v="TR.OUTSTANDINGSHORTSELLPOSITIONSSETTLEDBYINSTRUMENTDELIVERY"/>
        <s v="TR.OUTSTANDINGFINANCIALINSTITUTESSHORTSELLPOSITIONS"/>
        <s v="TR.NUMBEROFDARKTRADES"/>
        <s v="TR.SPECIALTRADESCHEMESHORTSELLLIMIT"/>
        <s v="TR.SPECIALTRADESCHEMETOTALSHORTSELLVOLUME"/>
        <s v="TR.NETTRADINGVALUEBYFOREIGNINVESTORS"/>
        <s v="TR.NETTRADINGVALUEBYDOMESTICINVESTORS"/>
        <s v="TR.25DAYPRICEMOVINGAVERAGES"/>
        <s v="TR.TOTALMARKETVWAP"/>
        <s v="TR.LASTCLEANPRICE"/>
        <s v="TR.PRIMARYLISTINGUNADJUSTEDOPENPRICE"/>
        <s v="TR.NONREPORTEDSHORTSELLTOTALVOLUME"/>
        <s v="TR.MARGINBUYLIMIT"/>
        <s v="TR.OUTSTANDINGMARGINBUYRATIO"/>
        <s v="TR.OUTSTANDINGSHORTSALERATIO"/>
        <s v="TR.SHORTSELLPOSITIONNETCHANGE"/>
        <s v="TR.REPORATE"/>
        <s v="TR.SHORTSELLTURNOVERFORSPECIALTRADESCHEME"/>
        <s v="TR.DAILYSHORTSELLPERCENTAGEFORSPECIALTRADESCHEME"/>
        <s v="TR.10DAYCUMULATIVESHORTSELLINGPERCENTAGEFORSPECIALTRADE"/>
        <s v="TR.REFERENCEPRICEFORPRICELIMITCALCULATION"/>
        <s v="TR.ACCUMULATEDDARKTRADEVOLUME"/>
        <s v="TR.TOTALDARKTURNOVER"/>
        <s v="TR.IRREGULARTRADEVOLUME"/>
        <s v="TR.ORDERBOOKTRADEVOLUME"/>
        <s v="TR.NETASSETVAL"/>
        <s v="TR.ALTERNATEMARKETCLOSEPRICE"/>
        <s v="TR.ANNUALIZEDDIVIDEND"/>
        <s v="TR.AUCTIONONLYPRICE"/>
        <s v="TR.DELTA"/>
        <s v="TR.IMPLIEDVOLATILITY"/>
        <s v="TR.IMPLIEDVOLATILITYOFASKPRICE"/>
        <s v="TR.IMPLIEDVOLATILITYOFBIDPRICE"/>
        <s v="TR.AVERAGEBUYPRICE"/>
        <s v="TR.AVERAGESELLPRICE"/>
        <s v="TR.TOTALAMOUNTOFSHARESISSUED"/>
        <s v="TR.KNOCKOUTPRICE"/>
        <s v="TR.PERCENTOFWARRANTISSUED"/>
        <s v="TR.WARRANTSBOUGHTAVERAGEPRICE"/>
        <s v="TR.WARRANTSSOLDAVERAGEPRICE"/>
        <s v="TR.CIRCUITBREAKERPRICE"/>
        <s v="TR.SYNCINDEX1DAY"/>
        <s v="TR.EXCHANGEPROVIDEDIMPLIEDVOLATILITY"/>
        <s v="TR.PERIODCODE"/>
        <s v="TR.BIDSIZE"/>
        <s v="TR.ASKSIZE"/>
        <s v="TR.REMAINPERCENTAGEOFSHARESFORFOREIGNINVESTORS"/>
        <s v="TR.YIELDTOMATURITY"/>
        <s v="TR.MIDYIELD"/>
        <s v="TR.NETCHANGE"/>
        <s v="TR.BENCHMARKBONDYIELD"/>
        <s v="TR.YIELDTOWORST"/>
        <s v="TR.YIELDTOBEST"/>
        <s v="TR.THEORETICALPRICE"/>
        <s v="TR.CONVERSIONPARITY"/>
        <s v="TR.CONVERSIONPREMIUM"/>
        <s v="TR.BONDFLOOR"/>
        <s v="TR.CONVERTIBLEEDGE"/>
        <s v="TR.OPENASKPRICE"/>
        <s v="TR.HIGHASKPRICE"/>
        <s v="TR.LOWASKPRICE"/>
        <s v="TR.OPENYIELD"/>
        <s v="TR.HIGHYIELD"/>
        <s v="TR.LOWYIELD"/>
        <s v="TR.ASKYIELD"/>
        <s v="TR.BIDYIELD"/>
        <s v="TR.ACCRUEDINTEREST"/>
        <s v="TR.BONDAUCTIONDATE"/>
        <s v="TR.SIMPLEYIELD"/>
        <s v="TR.SECONDCLOSEYIELD"/>
        <s v="TR.SECONDHIGHYIELD"/>
        <s v="TR.SECONDLOWYIELD"/>
        <s v="TR.SECONDOPENYIELD"/>
        <s v="TR.DAILYTOTALRETURN"/>
        <s v="TR.INTERPOLATEDGOVERNMENTSPREAD"/>
        <s v="TR.ACCUMULATEDBESTASKSIZE"/>
        <s v="TR.ACCUMULATEDBESTBIDSIZE"/>
        <s v="TR.ACCUMULATEDTOTALOFBESTBIDANDASKSIZES"/>
        <s v="TR.MAXIMUMNUMBEROFDEALERS"/>
        <s v="TR.TOTALNUMBEROFACTIVEBESTBIDANDASKQUOTES"/>
        <s v="TR.LIQUIDITYVALUE"/>
        <s v="TR.CONVPRICE"/>
        <s v="TR.STOCKPRICE"/>
        <s v="TR.CONVERSIONRATIO"/>
        <s v="TR.PARAMOUNT"/>
        <s v="TR.CREDITSPREAD"/>
        <s v="TR.ASKSPREAD"/>
        <s v="TR.BIDSPREAD"/>
        <s v="TR.COMPOUNDYIELD"/>
        <s v="TR.ISMABIDYIELD"/>
        <s v="TR.ISMAASKYIELD"/>
        <s v="TR.ASKDISCOUNT"/>
        <s v="TR.BIDDISCOUNT"/>
        <s v="TR.SIMPLEMARGIN"/>
        <s v="TR.DISCOUNTMARGIN"/>
        <s v="TR.CLEANPRICE"/>
        <s v="TR.DIRTYPRICE"/>
        <s v="TR.NUMBEROFCONTRIBUTORS"/>
        <s v="TR.MACAULAYDURATION"/>
        <s v="TR.SPREADBETWEENINTERPOLATEDCDSSPREADANDZSPREADOFBOND"/>
        <s v="TR.INTERPOLATEDCDSSPREAD"/>
        <s v="TR.TOTALDURATION"/>
        <s v="TR.AVERAGEPRICEFORFIXEDINCOMEINSTRUMENTS"/>
        <s v="TR.MEDIANPRICE"/>
        <s v="TR.HIGHAVERAGEPRICE"/>
        <s v="TR.LOWAVERAGEPRICE"/>
        <s v="TR.INTERBANKOFFEREDRATESPREAD"/>
        <s v="TR.FLOATINGRATENOTEINDEXVALUE"/>
        <s v="TR.NEXTCOUPONDURATION"/>
        <s v="TR.REFERENCECREDITDEFAULTSWAP"/>
        <s v="TR.FLOATINGRATEMARGIN"/>
        <s v="TR.ASKCLOSEDISCOUNTMARGIN"/>
        <s v="TR.ASKHIGHDISCOUNTMARGIN"/>
        <s v="TR.ASKLOWDISCOUNTMARGIN"/>
        <s v="TR.ASKOPENDISCOUNTMARGIN"/>
        <s v="TR.BIDCLOSEDISCOUNTMARGIN"/>
        <s v="TR.BIDHIGHDISCOUNTMARGIN"/>
        <s v="TR.BIDLOWDISCOUNTMARGIN"/>
        <s v="TR.BIDOPENDISCOUNTMARGIN"/>
        <s v="TR.CLOSESTTOMATURITYCDSBASIS"/>
        <s v="TR.QUOTEDMARGINFORFRN"/>
        <s v="TR.MIDCLOSEDISCOUNTMARGIN"/>
        <s v="TR.ASSETSWAPSPREAD1M"/>
        <s v="TR.ASSETSWAPSPREAD3M"/>
        <s v="TR.ASSETSWAPSPREAD6M"/>
        <s v="TR.ASSETSWAPSPREAD"/>
        <s v="TR.ZSPREAD"/>
        <s v="TR.BREAKEVENINFLATION"/>
        <s v="TR.ASKCOMPOUNDYIELD"/>
        <s v="TR.BIDCOMPOUNDYIELD"/>
        <s v="TR.ASKREALYIELD"/>
        <s v="TR.BIDREALYIELD"/>
        <s v="TR.MODIFIEDDURATION"/>
        <s v="TR.EXCHANGEFORPHYSICALASKYIELDSPREAD"/>
        <s v="TR.EXCHANGEFORPHYSICALBIDYIELDSPREAD"/>
        <s v="TR.INDICATIVEPRICE"/>
        <s v="TR.UNDERLYINGINDEX"/>
        <s v="TR.BASEINDEX"/>
        <s v="TR.INDEXRATIO"/>
        <s v="TR.INDEXVALUE"/>
        <s v="TR.BIDZSPREAD"/>
        <s v="TR.ADJUSTEDASKPRICE"/>
        <s v="TR.ADJUSTEDBIDPRICE"/>
        <s v="TR.MIDREALYIELD"/>
        <s v="TR.INTERPOLATEDBREAKEVENINFLATION"/>
        <s v="TR.BENCHMARKSPREAD"/>
        <s v="TR.MIDSPREAD"/>
        <s v="TR.TOTALISSUES"/>
        <s v="TR.SWAPSPREAD"/>
        <s v="TR.TRADEVOL"/>
        <s v="TR.CONVEXITY"/>
        <s v="TR.BASISPOINTVALUE"/>
        <s v="TR.OPTIONADJUSTEDSPREADBID"/>
        <s v="TR.DAYSTOMATURITY"/>
        <s v="TR.STANDARDDEVIATION"/>
        <s v="TR.SWAPSPREADBID"/>
        <s v="TR.BIDHIGHSPREAD"/>
        <s v="TR.BIDLOWSPREAD"/>
        <s v="TR.BIDOPENSPREAD"/>
        <s v="TR.REFERENCEYIELD"/>
        <s v="TR.CONSTANTMATURITYYIELD"/>
        <s v="TR.CLOSEASKSPREAD"/>
        <s v="TR.ASKHIGHSPREAD"/>
        <s v="TR.ASKLOWSPREAD"/>
        <s v="TR.ASKOPENSPREAD"/>
        <s v="TR.CLOSEBIDSPREAD"/>
        <s v="TR.TOTALVOLUME"/>
        <s v="TR.YIELDNETCHANGE"/>
        <s v="TR.LOWERSPREAD"/>
        <s v="TR.UPPERSPREAD"/>
        <s v="TR.CURRENTWEIGHTEDAVERAGEMATURITY"/>
        <s v="TR.POOLFACTOR"/>
        <s v="TR.OPTIONADJUSTEDSPREAD"/>
        <s v="TR.AVERAGELIFE"/>
        <s v="TR.PSAMORTGAGEPREPAYMENTSPEED"/>
        <s v="TR.CONSTANTPREPAYMENTRATE"/>
        <s v="TR.FAIRVALUE"/>
        <s v="TR.DISCOUNTRATE"/>
        <s v="TR.SECONDBENCHMARKSPREAD"/>
        <s v="TR.VOLUMEWEIGHTEDAVERAGEYIELD"/>
        <s v="TR.MARKTOMARKETPRICE1"/>
        <s v="TR.MARKTOMARKETPRICE2"/>
        <s v="TR.MARKTOMARKETPRICE3"/>
        <s v="TR.MARKTOMARKETYIELD1"/>
        <s v="TR.MARKTOMARKETYIELD2"/>
        <s v="TR.MARKTOMARKETYIELD3"/>
        <s v="TR.WEIGHTEDAVERAGECOUPONUSINGPARVALUE"/>
        <s v="TR.OPTIONADJUSTEDCONVEXITY"/>
        <s v="TR.MODIFIEDCONVEXITY"/>
        <s v="TR.ZEROOPTIONADJUSTEDPRICE"/>
        <s v="TR.OPTIONADJUSTEDPRICEVALUEBASISPOINT"/>
        <s v="TR.OPTIONADJUSTEDPRICEVALUEBASISPOINTCONVERSION"/>
        <s v="TR.OPTIONFREEYIELD"/>
        <s v="TR.OPTIONADJUSTEDDURATION"/>
        <s v="TR.MODIFIEDOPTIONADJUSTEDDURATION"/>
        <s v="TR.MODIFIEDOPTIONADJUSTEDCONVEXITY"/>
        <s v="TR.REFERENCEOPTIONADJUSTEDSPREADPRICE"/>
        <s v="TR.REFERENCEOPTIONADJUSTEDSPREAD"/>
        <s v="TR.PREVIOUSPREPAYMENTRATE"/>
        <s v="TR.OPENDISCOUNT"/>
        <s v="TR.HIGHDISCOUNT"/>
        <s v="TR.LOWDISCOUNT"/>
        <s v="TR.WEIGHTEDAVERAGELOANAGE"/>
        <s v="TR.CLOSEYIELD"/>
        <s v="TR.AVERAGEBUYYIELD"/>
        <s v="TR.AVERAGEPRICEFORINTERDEALERTRADES"/>
        <s v="TR.AVERAGEYIELDFORINTERDEALERTRADES"/>
        <s v="TR.AVERAGESELLYIELD"/>
        <s v="TR.AVERAGETRADEVOLUME"/>
        <s v="TR.OVERNIGHTINDEXEDSWAPOISSPREAD"/>
        <s v="TR.THEORETICALYIELD"/>
        <s v="TR.TEDSPREAD"/>
        <s v="TR.HIGHBIDDISCOUNT"/>
        <s v="TR.LOWBIDDISCOUNT"/>
        <s v="TR.OPENBIDDISCOUNT"/>
        <s v="TR.AVERAGEMARKTOMARKETYIELD"/>
        <s v="TR.AVERAGEMARKTOMARKETPRICE"/>
        <s v="TR.MEDIANCOMPOUNDYIELD"/>
        <s v="TR.MEDIANSIMPLEYIELD"/>
        <s v="TR.HIGHCOMPOUNDYIELD"/>
        <s v="TR.HIGHSIMPLEYIELD"/>
        <s v="TR.LOWCOMPOUNDYIELD"/>
        <s v="TR.LOWSIMPLEYIELD"/>
        <s v="TR.MIDCOMPOUNDYIELD"/>
        <s v="TR.OPENASKYIELD"/>
        <s v="TR.HIGHASKYIELD"/>
        <s v="TR.LOWASKYIELD"/>
        <s v="TR.REMAININGPRINCIPALBALANCE"/>
        <s v="TR.ISSUEAMOUNT"/>
        <s v="TR.CARRYCOST"/>
        <s v="TR.CARRYROLLDOWNTOTAL"/>
        <s v="TR.ROLLDOWN"/>
        <s v="TR.DISCOUNTSPREAD"/>
        <s v="TR.18MONTHLOANSPREAD"/>
        <s v="TR.3YEARLOADSPREAD"/>
        <s v="TR.4YEARLOADSPREAD"/>
        <s v="TR.5YEARLOADSPREAD"/>
        <s v="TR.LOANSPREAD"/>
        <s v="TR.ASKLOANSPREAD"/>
        <s v="TR.BIDLOANSPREAD"/>
        <s v="TR.DEFAULTPROBABILITY"/>
        <s v="TR.HIGHDISCOUNTFACTOR"/>
        <s v="TR.ZEROYIELD"/>
        <s v="TR.DISCOUNTFACTOR"/>
        <s v="TR.SHORTRATE"/>
        <s v="TR.AVERAGEMATURITY"/>
        <s v="TR.PARYIELD"/>
        <s v="TR.ZEROREINVESTMENTINDEX"/>
        <s v="TR.ISSUESADVANCED"/>
        <s v="TR.ISSUESDECLINED"/>
        <s v="TR.MARKETCAPITALIZATION"/>
        <s v="TR.THEORETICALOPEN"/>
        <s v="TR.NUMBEROFLISTEDSHARES"/>
        <s v="TR.NUMBEROFSTOCKS"/>
        <s v="TR.1MONTHPERCENTAGECHANGE"/>
        <s v="TR.TOTALRETURNYIELD"/>
        <s v="TR.EANINGYIELD"/>
        <s v="TR.WEIGHTINGPERCENTAGEOFALLSHAREINDEX"/>
        <s v="TR.NETRETURN"/>
        <s v="TR.IDXDIVISOR"/>
        <s v="TR.25DAYSMEANADVANCEDECLINERATIO"/>
        <s v="TR.NOMINALAMOUNTOUTSTANDINGWEIGHTINGPERCENTAGEOFMARKETINDEX"/>
        <s v="TR.UNSCALEDINDEXVALUE"/>
        <s v="TR.OPENBIDPRICE"/>
        <s v="TR.HIGHESTBIDPRICE"/>
        <s v="TR.LOWBIDPRICE"/>
        <s v="TR.HIGHMIDPRICE"/>
        <s v="TR.LOWMIDPRICE"/>
        <s v="TR.OPENMIDPRICE"/>
        <s v="TR.NUMBEROFBIDS"/>
        <s v="TR.AMERICACLOSEASKPRICE"/>
        <s v="TR.AMERICACLOSEBIDPRICE"/>
        <s v="TR.AMERICAHIGHASKPRICE"/>
        <s v="TR.AMERICAHIGHBIDPRICE"/>
        <s v="TR.AMERICALOWASKPRICE"/>
        <s v="TR.AMERICALOWBIDPRICE"/>
        <s v="TR.AMERICAOPENASKPRICE"/>
        <s v="TR.AMERICAOPENBIDPRICE"/>
        <s v="TR.ASIACLOSEASKPRICE"/>
        <s v="TR.ASIACLOSEBIDPRICE"/>
        <s v="TR.ASIAHIGHASKPRICE"/>
        <s v="TR.ASIAHIGHBIDPRICE"/>
        <s v="TR.ASIALOWASKPRICE"/>
        <s v="TR.ASIALOWBIDPRICE"/>
        <s v="TR.ASIAOPENASKPRICE"/>
        <s v="TR.ASIAOPENBIDPRICE"/>
        <s v="TR.EUROPECLOSEASKPRICE"/>
        <s v="TR.EUROPECLOSEBIDPRICE"/>
        <s v="TR.EUROPEHIGHASKPRICE"/>
        <s v="TR.EUROPEHIGHBIDPRICE"/>
        <s v="TR.EUROPELOWASKPRICE"/>
        <s v="TR.EUROPELOWBIDPRICE"/>
        <s v="TR.EUROPEOPENASKPRICE"/>
        <s v="TR.EUROPEOPENBIDPRICE"/>
        <s v="TR.ASIACLOSINGTRADEPRICE"/>
        <s v="TR.EUROPECLOSINGTRADEPRICE"/>
        <s v="TR.AVERAGEPRICE"/>
        <s v="TR.EUROPEHIGHTRADEPRICE"/>
        <s v="TR.EUROPELOWTRADEPRICE"/>
        <s v="TR.EUROPEOPENTRADEPRICE"/>
        <s v="TR.USCLOSINGTRADEPRICE"/>
        <s v="TR.ASIAHIGHTRADEPRICE"/>
        <s v="TR.ASIALOWTRADEPRICE"/>
        <s v="TR.ASIAOPENTRADEPRICE"/>
        <s v="TR.USHIGHTRADEPRICE"/>
        <s v="TR.USLOWTRADEPRICE"/>
        <s v="TR.USOPENTRADEPRICE"/>
        <s v="TR.NUMBEROFQUOTATIONS"/>
        <s v="TR.FIXINGVALUE"/>
        <s v="TR.SCALINGFACTOR"/>
        <s v="TR.EXPIRYDATE"/>
        <s v="TR.FORWARDOUTRIGHTASKPRICE"/>
        <s v="TR.FORWARDOUTRIGHTBIDPRICE"/>
        <s v="TR.FORWARDOUTRIGHTBASISPOINT"/>
        <s v="TR.STRIKEPRICE"/>
        <s v="TR.PREMIUM"/>
        <s v="TR.IMPLIEDCORRELATION"/>
        <s v="TR.SKEWNESS"/>
        <s v="TR.KURTOSIS"/>
        <s v="TR.BIDPRICEPREMIUM"/>
        <s v="TR.ASKPRICEPREMIUM"/>
        <s v="TR.BIDSTRIKEPRICE"/>
        <s v="TR.ASKSTRIKEPRICE"/>
        <s v="TR.MONEYNESS"/>
        <s v="TR.NUMBEROFTRADESDURINGPREDEFINEDPERIOD"/>
        <s v="TR.10DAYMOVINGAVERAGE"/>
        <s v="TR.20DAYMOVINGAVERAGE"/>
        <s v="TR.5DAYMOVINGAVERAGE"/>
        <s v="TR.PRICEVARIATIONPERBASISPOINT"/>
        <s v="TR.ALTERNATEMARKETOPENPRICE"/>
        <s v="TR.ASSETSWAPSPREADASK"/>
        <s v="TR.ASSETSWAPSPREADBID"/>
        <s v="TR.SWAPSPREADASK"/>
        <s v="TR.ISSUESUNCHANGED"/>
        <s v="TR.NEWLOWS"/>
        <s v="TR.NEWHIGHS"/>
        <s v="TR.ADVANCINGVOLUME"/>
        <s v="TR.DECLININGVOLUME"/>
        <s v="TR.UNCHANGEDVOLUME"/>
        <s v="TR.TOTALMOVES"/>
        <s v="TR.ADVANCEDECLINERATIO"/>
        <s v="TR.FORECASTDATE"/>
        <s v="TR.EXCHANGERATE"/>
        <s v="TR.HIGHFORECAST"/>
        <s v="TR.LOWFORECAST"/>
        <s v="TR.NUMBEROFFORECASTS"/>
        <s v="TR.EFFECTIVEDATE"/>
        <s v="TR.LOOKBACKPERIOD"/>
        <s v="TR.WEIGHTEDFORECAST"/>
        <s v="TR.FORECASTACCURACY"/>
        <s v="TR.FORECASTMEAN"/>
        <s v="TR.FORECASTMEDIAN"/>
        <s v="TR.FORECASTMODE"/>
        <s v="TR.ECONOMICINDICATORFORECAST"/>
        <s v="TR.CONTRIBUTORRANKING"/>
        <s v="TR.OPENINTEREST"/>
        <s v="TR.TOTALBUYVOLUME"/>
        <s v="TR.NUMBEROFBIDTRADEDORDER"/>
        <s v="TR.NUMBEROFASKTRADEDORDER"/>
        <s v="TR.AVERAGEPRICEOFFIRSTBESTBIDANDASK"/>
        <s v="TR.TOTALNUMBEROFTRADE"/>
        <s v="TR.TOTALSELLORDER"/>
        <s v="TR.TOTALBUYORDER"/>
        <s v="TR.ACCUMULATEDASKSIDESHARESRECEIVED"/>
        <s v="TR.ACCUMULATEDASKORDERS"/>
        <s v="TR.ACCUMULATEDBIDORDERS"/>
        <s v="TR.ACCUMULATEDBIDSIDESHARESRECEIVED"/>
        <s v="TR.BUYSELLSTRENGTHINDICATOR"/>
        <s v="TR.PUTCALLRATIO"/>
        <s v="TR.REMAININGTRADEQUOTA"/>
        <s v="TR.TOTALREMAININGTRADEQUOTA"/>
        <s v="TR.TOTALSELLVOLUME"/>
        <s v="TR.NETBUYVALUE."/>
        <s v="TR.NETBUYVOLUME"/>
        <s v="TR.TOTALBUYVALUE"/>
        <s v="TR.TOTALSELLVALUE"/>
        <s v="TR.CDSDOLLARVARIATIONPERBASISPOINT"/>
        <s v="TR.RECOVERYRATE"/>
        <s v="TR.INDEXSKEW"/>
        <s v="TR.THEORETICALMIDPRICE"/>
        <s v="TR.THEORETICALMIDSPREAD"/>
        <s v="TR.GAMMA"/>
        <s v="TR.THETA"/>
        <s v="TR.CDSBASIS"/>
        <s v="TR.ALTMANZSCORE"/>
        <s v="TR.MIDUPFRONT100COUPON"/>
        <s v="TR.MIDUPFRONT500COUPON"/>
        <s v="TR.FIXEDCOUPON"/>
        <s v="TR.IRREGULARTRADEPRICE"/>
        <s v="TR.IMPLIEDYIELD"/>
        <s v="TR.CONVEXITYBIAS"/>
        <s v="TR.FIRSTOPENPRICE"/>
        <s v="TR.SECONDOPENPRICE"/>
        <s v="TR.OPENRANGEPRICETYPE"/>
        <s v="TR.NUMBEROFCONTRACTSEXERCISED"/>
        <s v="TR.SELLVOLUME"/>
        <s v="TR.COMBINEDACCUMULATEDVOLUME"/>
        <s v="TR.BLOCKANDBASKETTRADESTURNOVER"/>
        <s v="TR.FIRSTCLOSEPRICE"/>
        <s v="TR.SECONDCLOSEPRICE"/>
        <s v="TR.LASTUPDATEVALUE"/>
        <s v="TR.FIRSTTRADEDPRICE"/>
        <s v="TR.OFFICIALBIDPRICE"/>
        <s v="TR.OFFICIALASKPRICE"/>
        <s v="TR.UNOFFICIALBIDPRICE"/>
        <s v="TR.UNOFFICIALASKPRICE"/>
        <s v="TR.THEORETICALVALUE"/>
        <s v="TR.VEGA"/>
        <s v="TR.RHO"/>
        <s v="TR.30DAYATTHEMONEYIMPLIEDVOLATILITYINDEXFORCALLOPTIONS"/>
        <s v="TR.30DAYATTHEMONEYIMPLIEDVOLATILITYINDEXFORPUTOPTIONS"/>
        <s v="TR.60DAYATTHEMONEYIMPLIEDVOLATILITYINDEXFORCALLOPTIONS"/>
        <s v="TR.60DAYATTHEMONEYIMPLIEDVOLATILITYINDEXFORPUTOPTIONS"/>
        <s v="TR.90DAYATTHEMONEYIMPLIEDVOLATILITYINDEXFORCALLOPTIONS"/>
        <s v="TR.90DAYATTHEMONEYIMPLIEDVOLATILITYINDEXFORPUTOPTIONS"/>
        <s v="TR.VOLUMEOPENINTERESTRATIO"/>
        <s v="TR.CABINETTRADEPRICE"/>
        <s v="TR.BIDSIZEATIMPLIEDBESTASKPRICE"/>
        <s v="TR.BIDSIZEATIMPLIEDBESTBIDPRICE"/>
        <s v="TR.LATESTIMPLIEDBESTASKPRICE"/>
        <s v="TR.LATESTIMPLIEDBESTBIDPRICE"/>
        <s v="TR.YEARHIGH"/>
        <s v="TR.YEARLOW"/>
        <s v="TR.LIFEHIGH"/>
        <s v="TR.LIFELOW"/>
      </sharedItems>
    </cacheField>
    <cacheField name="Description" numFmtId="0">
      <sharedItems count="564">
        <s v="Last trade price or value."/>
        <s v="Unscaled accumulated number of shares, lots or contracts traded according to the market convention"/>
        <s v="Accumulated off-book volume"/>
        <s v="Today's total block trading volume.Updated whenever a trade occurs over a pre-defined, market-specific, number of shares occurs."/>
        <s v="Latest Bid Price (price willing to buy)"/>
        <s v="Latest Ask Price (price offering to sell)"/>
        <s v="The mid-price between the bid and ask prices."/>
        <s v="Volume Weighted Average Price."/>
        <s v="Upper trading limit for today's trading."/>
        <s v="Lower trading limit for today's trading."/>
        <s v="For equities the dividend per share expressed as a percentage of the price. For bonds this is the current or simple yield i.e. the interest expressed as a percentage of the price."/>
        <s v="Orderbook (on mkt) VWAP"/>
        <s v="Indicative Auction Price"/>
        <s v="Indicative Auction Volume"/>
        <s v="Today's highest transaction value."/>
        <s v="Today's lowest transaction value."/>
        <s v="Today's opening price or value. The source of this field depends upon the market and instrument type."/>
        <s v="The unscaled turnover value (summation of the value of all trades during the market day) for a particular instrument."/>
        <s v="The official closing price for this market.  Price may be qualified by CLOSE_TONE"/>
        <s v="Number of trades today. For indices the number of times the index has been calculated."/>
        <s v="Reference Price qualified by REF_PRC_TP"/>
        <s v="Un-scaled accumulated volume reported by the exchange/source.   Includes more trade types than last eligible. "/>
        <s v="Settlement price. The official closing price of a futures or option contract set by the clearing house at the end of the trading day."/>
        <s v="Today's base price"/>
        <s v="Accumulated Eligible Trade Volume"/>
        <s v="Market Low Price: Lowest trade price which includes off-book as well as on-book trades."/>
        <s v="Market High Price: High trade price which includes off-book as well as on-book trades."/>
        <s v="Accumulated Volume of After-hour "/>
        <s v="Turnover of Pre-Open  and After-hour Markets"/>
        <s v="The unscaled value for the total number of shares outstanding."/>
        <s v="Ratio of stock price to earnings per share."/>
        <s v="Intraday Auction Price"/>
        <s v="Volume for calculation of Volume Weighted Average Price"/>
        <s v="The un-scaled value of &quot;Units of securities issued x Last Price&quot;. For equity, this is the un-scaled Market Capitalization."/>
        <s v="Number of block trades today."/>
        <s v="First session high price."/>
        <s v="First session low price."/>
        <s v="Second session high price."/>
        <s v="Second session low price."/>
        <s v="The closing value of the first session "/>
        <s v="The opening value for the second session. "/>
        <s v="Opening Auction Price"/>
        <s v="Closing Auction Price"/>
        <s v="Opening Auction Volume"/>
        <s v="Closing Auction Volume"/>
        <s v="Orderbook (on market) trades"/>
        <s v="Value of the latest unscaled single trade turnover (TRDVOL_1 x TRDPRC_1)"/>
        <s v="The volume of odd lot trade deals done so far."/>
        <s v="The final trade of a normal trading market period if there is an end of day auction period or other post market trading period.  Also known as the clean last trade of continous trading."/>
        <s v="Shortsell turnover"/>
        <s v="Total volume of short sell trades for a particular trading day."/>
        <s v="The maximum percentage of total shares outstanding foreign investors can collectively hold (issue limit percentage)."/>
        <s v="Number of shares currently owned by foreign investors."/>
        <s v="The maximum percentage of total shares outstanding a single foreign investor can individually (personally) hold (personal limit percentage)."/>
        <s v="The latest price from odd lot board"/>
        <s v="The foreigners buy volume."/>
        <s v="Buy volume of Dealers Trading"/>
        <s v="Sell volume of Dealers Trading"/>
        <s v="Ratio of Foreign to Domestic Holding"/>
        <s v="Foreigner Net Hold Volume"/>
        <s v="Ratio of  foreign to domestic investment that remains for foreign investment"/>
        <s v="Odd Lot Trade Turnover."/>
        <s v="Aggregate volume of all trades reported today including those that have occurred prior to today. For multiple currency markets this, should always be reported trades in the primary currency."/>
        <s v="Instrument Trading Status, which include trade halts or suspensions."/>
        <s v="Total off book turnover"/>
        <s v="Used to denote a secondary close price for a particular instrument."/>
        <s v="Secondary Reference Price qualified by REFPRC_TP2"/>
        <s v="Third Reference Price qualified by REFPRC_TP3"/>
        <s v="Latest reported earnings per share."/>
        <s v="Volumes for the first to seventh trading sessions respectively."/>
        <s v="The opening value for the  first session."/>
        <s v="The margin buy position"/>
        <s v="The net change of the current buy margin from the previous."/>
        <s v="The margin sell position "/>
        <s v="The buy margin position divided by the sell margin position."/>
        <s v="Short Sale Ratio."/>
        <s v="Moving average of the n last working days indicator values"/>
        <s v="Session VWAP for single issue trade"/>
        <s v="Session VWAP for fixed trade"/>
        <s v="Shortsell limit"/>
        <s v="Time of the last trade with precision in milliseconds - the time of the last update to the field TRDPRC_1 (FID 6)."/>
        <s v="Block price or big lot size price."/>
        <s v="Intraday Auction Volume"/>
        <s v="Market Open Price: Open price including off order book and on book trades."/>
        <s v="Total amount of shares available to foreign investors (maximum amount of shares foreign investors can own)."/>
        <s v="Remaining Quantity of shares currently available to foreign investors. Calculated by FR_LMSHAR E3952 - FRGN_OWN #3955."/>
        <s v="Today's total market turnover, which includes all types of trades for a particular exchange, such as trades from main and foreign, odd and big lot boards; order book and off-order book trades."/>
        <s v="Accumulated Volume of Block and Basket trading"/>
        <s v="Accumulated Volume of Block and Basket trading during after-hour market."/>
        <s v="Accumulated Volume of Block and Basket trading during Pre-open market."/>
        <s v="Accumulated Volume of Block and Basket trading during regular session."/>
        <s v="The foreigners sell volume."/>
        <s v="The total turnover of trades using the Order Book trading facility."/>
        <s v="Total Turnover for Foreign Buy Trades"/>
        <s v="Total Turnover for Foreign Sell Trades"/>
        <s v="Volume of the most recent cancelled trade"/>
        <s v="Domestic Investor Buy Volume"/>
        <s v="Sell Volume by Domestic Investor"/>
        <s v="Number of shares currently owned by Sub-regional nationals"/>
        <s v="Number of shares currently owned by Regional nationals"/>
        <s v="Number of shares currently owned by Domestic nationals"/>
        <s v="Number of shares currently owned by Non-regional nationals"/>
        <s v="21-Days Average Close Auction Volume"/>
        <s v="30-Days Average Close Auction Volumes"/>
        <s v="5-Days Average Close Auction Volume"/>
        <s v="Secondary accumulated volume of Block trading during off-hour session(s)."/>
        <s v="Secondary accumulated volume of Block trading during regular session."/>
        <s v="Today's total number of margin and shortsell position offsetted"/>
        <s v="Today's accumulated shares, lots or contract bought in margin."/>
        <s v="Today's number of outstanding margin buy positions settled as the result of the positions were paid in full."/>
        <s v="Today's number of outstanding margin buy positions settled by delivering of the instrument."/>
        <s v="Outstanding Margin buy position financed by 3rd party financial institutes"/>
        <s v="Today's shortsell position "/>
        <s v="Today's accumulated shares, lots or contract sold short"/>
        <s v="Today's number of outstanding short sell position settled as the result of the positions were paid in full"/>
        <s v="Today's number of outstanding short sell positions settled by delivery of the instrument. "/>
        <s v="Outstanding short sell positions supported(by security lending) by 3rd party financial institutes."/>
        <s v="Number of Dark Trades"/>
        <s v="Shortsell limit for pertaining to special trade scheme"/>
        <s v="Special trade scheme total short sell trades volume for a particular trading day "/>
        <s v="Net Trading by Foreign Investor based on value. (Net trading = Total buy value of foreign investors - Total sell value of foreign investors)"/>
        <s v="Net Trading by Domestic Investor based on value. (Net trading = Total buy value of domestic investors - Total sell value of domestic investors)"/>
        <s v="Price Moving Averages"/>
        <s v="Total market VWAP (on and off book trades)"/>
        <s v="The last clean price published for the instrument"/>
        <s v="Primary listing's unadjusted (for currency) open price."/>
        <s v="Total volume of non-reported short sell trades for a particular trading day"/>
        <s v="Margin Buy Limit"/>
        <s v="Outstanding margin buy ratio.  (Open Margin Buy Position / Margin Buy Limit)"/>
        <s v="Outstanding short sale ratio.  (Open Short sell position / Short Sale Limit)"/>
        <s v="The difference between the latest open short sell position and the previous day's short sell position"/>
        <s v="Repo Rate.  The interest rate in a repurchase agreement."/>
        <s v="Shortsell turnover for special trade scheme"/>
        <s v="Daily short selling percentage for special trade scheme "/>
        <s v="10-day cumulative short selling percentage for special trade scheme "/>
        <s v="Reference price for upper/lower price limit calculation, associated with UPLIMIT_2 (#3816) / LOLIMIT_2 (#3815)"/>
        <s v="Accumulated Dark Trade Volume"/>
        <s v="Total Dark Turnover"/>
        <s v="The volume associated with the price held in the field IRGPRC (FID 372)."/>
        <s v="Orderbook trade volume"/>
        <s v="Net asset value"/>
        <s v="A secondary close field for those markets with more than one closing types."/>
        <s v="Annualized dividend or the latest reported dividend.  Strategically to be used for Annualized dividend"/>
        <s v="Used where the exchange provides a separate indicative price for continuous orders during the auction versus auction only prices. This will provide the price at which the order book will match using only auction orders."/>
        <s v="Delta."/>
        <s v="Implied Volatility"/>
        <s v="Implied volatility of ASK price."/>
        <s v="Implied volatility of BID price."/>
        <s v="Average price paid for buy side transactions."/>
        <s v="Average price paid for sell or ask side transactions."/>
        <s v="Total amount of shares(unit of instruments) issued."/>
        <s v="This is the Knock out price, which means when this price is reached the certificate is automatically expired even if the maturity date is not reached"/>
        <s v="Percent of issue still out in the market"/>
        <s v="Average Price of warrants Bought"/>
        <s v="Average Price of warrants Sold"/>
        <s v="Price of trade which triggered a circuit breaker"/>
        <s v="Sync Index - 1 Day, Calculated with the percentage change of the deriviate instrument over the percentage change of its underlying."/>
        <s v="Exchange provided Implied Volatility"/>
        <s v="Native code to indicate the current phase of an instrument."/>
        <s v="The number of shares, lots, or contracts willing to buy at the Bid price"/>
        <s v="The number of shares, lots, or contracts willing to sell at the Ask price"/>
        <s v="Remaining percentage of total shares available to foreign investors (remaining shares percentage for foreign investors)"/>
        <s v="For debt instruments the yield to maturity which is the yield taking into account the price discount or premium over face value."/>
        <s v="Mid Yield stack FIDs"/>
        <s v="Difference between the lastest trading price or value and the adjusted historical closing value or settlement price."/>
        <s v="Benchmark Bond Yield"/>
        <s v="Yield To Worst"/>
        <s v="Yield to best"/>
        <s v="Theoretical price "/>
        <s v="The price at which a convertible instrument must sell for it to equal the current shares to be received upon conversion."/>
        <s v="The conversion premium indicates positive/negative percent if the cost of converting into the share is above or below the current cost in the market"/>
        <s v="Bond Floor Price for Convertible"/>
        <s v="% of stock that can be converted"/>
        <s v="Open Ask Price"/>
        <s v="Highest value of recorded ask orders"/>
        <s v="Lowest value of recorded ask orders"/>
        <s v="The opening yield of the day for Japanese instruments cleared during the pre-market clear."/>
        <s v="The day's highest yield as held in the RT_YIELD_1 field. This is cleared during the pre-market clear."/>
        <s v="The day's lowest yield as held in the RT_YIELD_1 field. This is cleared during the pre-market clear."/>
        <s v="Five rippled Ask Yield fields"/>
        <s v="Five rippled Bid Yield fields"/>
        <s v="Interest which has accumulated on a security since payment."/>
        <s v="The date the bond is auctioned."/>
        <s v="Simple yield."/>
        <s v="Second close yield field (associated to HST_CLSYLD) for quotes involving more than one close yield field"/>
        <s v="Second High yield field (ass to HIGH_YLD) for quotes involving more than one High yield field"/>
        <s v="Second Low yield field (ass to LOW_YLD) for quotes involving more than one Low yield field"/>
        <s v="Second Open yield field (ass to OPEN_YLD) for quotes involving more than one open yield field"/>
        <s v="Daily Total Return"/>
        <s v="Interpolated Government Spread. (Bond Yield - Interpolated Government Yield)"/>
        <s v="Today's total number of potential Best Ask sizes offered"/>
        <s v="Today's total number of potential Best Bid sizes offered"/>
        <s v="Today's total number of potential Best Bid sizes and Ask sizes offered"/>
        <s v="Today's maximum number of Dealers/Market Participants quoting the potential best quote "/>
        <s v="Total number of active Best Bid/Ask quotes at the current moment"/>
        <s v="Liquidity value assigned to an issue. "/>
        <s v="The share price at which the principal amount of a convertible bond may be used to acquire shares in owned by or related to the issuing company."/>
        <s v="Stock price."/>
        <s v="The Conversion Ratio is the number of shares per nominal amount of bond."/>
        <s v="Par Amount."/>
        <s v="Credit spread expressed in basis points."/>
        <s v="Basis point spread value calculated using the Ask yield."/>
        <s v="Basis point spread value calculated using the Bid yield."/>
        <s v="Compound yield."/>
        <s v="ISMA Bid &amp; Ask yields."/>
        <s v="The 5 best Ask Discount values "/>
        <s v="The 5 best Bid Discount values "/>
        <s v="The average cash return per annum on the FRN through out its life relative to its index."/>
        <s v="The Discount Margin is a measure of return from a FRN relative to that from its index rate e.g. LIBOR calculated by discounting future cash flows on a money market basis."/>
        <s v="Price excluding accrued interest."/>
        <s v="Price including accrued interest"/>
        <s v="# of contributors used to build the composite"/>
        <s v="A measure how sensitive a bond or a bond portfolio's price is to changes in interest rates. "/>
        <s v="Interpolated CDS Spread - Asset Swap Spread (or equivalent)."/>
        <s v="Interpolated CDS spread taking the difference of the yield to maturity of the underlying bond against the interpolated yield of the same maturity on the CDS reference curve."/>
        <s v="The duration of a debt instrument."/>
        <s v="Displays the average price for Fixed Income instruments."/>
        <s v="The Median value calculated on Price"/>
        <s v="High Average Price"/>
        <s v="Low Average Price"/>
        <s v="Spread +/- Index. The number of basis points above or below the index from the coupon is calculated."/>
        <s v="Floating Rate Note Index value"/>
        <s v="Next coupon duration."/>
        <s v="Reference Credit Default Swap"/>
        <s v="Increment added to calculation when calculating the current interest rate on a loan"/>
        <s v="Ask Close Discount Margin"/>
        <s v="Ask High Discount Margin "/>
        <s v="Ask Low Discount Margin "/>
        <s v="Ask Open Discount Margin"/>
        <s v="Bid Close Discount Margin"/>
        <s v="Bid High Discount Margin"/>
        <s v="Bid Low Discount Margin "/>
        <s v="Bid Open Discount Margin "/>
        <s v="Closest-to-maturity CDS Basis "/>
        <s v="Quoted margin- FRN.  Quoted margin is - additional spread added to the reference rate of the floater."/>
        <s v="MID Close Discount Margin"/>
        <s v="The Asset Swap Spread is the basis point margin over or under a reference rate for a bond whose cash flows have been converted from fixed to floating via an 1M basis interest rate swap"/>
        <s v="The Asset Swap Spread is the basis point margin over or under a reference rate for a bond whose cash flows have been converted from fixed to floating via an 3M basis interest rate swap"/>
        <s v="The Asset Swap Spread is the basis point margin over or under a reference rate for a bond whose cash flows have been converted from fixed to floating via an 6M basis interest rate swap"/>
        <s v="Asset Swap Spread"/>
        <s v="Z Spread. The difference in basis points required to make the bond perform to par."/>
        <s v="Breakeven Inflation. Rate the non-zero indexed bond wld generate the same nominal return to maturity as the conventional bond."/>
        <s v="Ask Compound Yield"/>
        <s v="Bid Compound Yield"/>
        <s v="The real ask yield is the annualised rate of return earned by holding an inflation linked security to maturity in addition to a compensation for inflation"/>
        <s v="The real bid yield is the annualised rate of return earned by holding an inflation linked security to maturity in addition to a compensation for inflation"/>
        <s v="Modified duration a measure of the sensitivity of a bond's price to changes in yield (e.g. if a bond has a modified duration of 4 and a price of 100 for every 10 basis points change in yield the price would change inversely by 0.4)."/>
        <s v="Exchange for physical ask yield spread"/>
        <s v="Exchange for physical bid yield spread"/>
        <s v="Indicative Price (not firm) not as the result of an auction.  For auction indicative price use IND_AUC #3912."/>
        <s v="Represents the RIC of the underlying index for an Exchange Traded Fund (ETF)"/>
        <s v="Base Index. Base Value of underlying index at issue"/>
        <s v="Index Ratio. Ratio indicating the adjustment required to principal. Reflects the growth of the index"/>
        <s v="An indicator providing a representation of the value of the securities which constitute it. "/>
        <s v="Bid Z Spread. The difference in basis points required to make the bond perform to par (to be used for Bid-side quote)"/>
        <s v="Adjusted Ask price"/>
        <s v="Adjusted Bid price"/>
        <s v="The real mid yield is the annualised rate of return earned by holding an inflation linked security to maturity in addition to a compensation for inflation.  "/>
        <s v="Interpolated breakeven inflation for Index-linked bond"/>
        <s v="The spread in basis points between the yield on a bond and it's nearest benchmark."/>
        <s v="Difference in basis point using a mid yield value"/>
        <s v="The number of issues which have traded today."/>
        <s v="Swap Spread."/>
        <s v="Number of shares, lots or contracts  traded in the most recent transaction, the transaction price reported in TRDPRC_1."/>
        <s v="A measure of the sensitivity of a bond's price to a change in yield. The calculation is derived from the difference between a straight line and a convex curve."/>
        <s v="Change in price with a 1 basis point change in yield"/>
        <s v="Option Adjusted Spread Bid"/>
        <s v="The Number of days to maturity (&quot;countdown&quot;) for an instrument."/>
        <s v="Standard deviation of bids for tranches included in the index."/>
        <s v="The spread in basis points on bid side between the assets compared in the swap deal."/>
        <s v="Bid High spread "/>
        <s v="Bid Low spread "/>
        <s v="Bid Open spread "/>
        <s v="Simple yield of reference bond."/>
        <s v="Constant Maturity Yield"/>
        <s v="Ask Close spread"/>
        <s v="Ask High spread "/>
        <s v="Ask Low spread"/>
        <s v="Ask Open spread "/>
        <s v="Bid close spread "/>
        <s v="Today's total market volume."/>
        <s v="The net change of the current real-time yield from the historic closing yield. This field is cleared during the pre-market clear."/>
        <s v="Lower spread value."/>
        <s v="Upper spread value."/>
        <s v="Current Weighted Average Maturity. The weighted average of the remaining terms to maturity."/>
        <s v="Pool Factor. The ratio of the current principal balance to its original principal balance  expressed as a decimal."/>
        <s v="Option-adjusted spread."/>
        <s v="Average Life. The average number of years to repayment of principal."/>
        <s v="PSA mortgage prepayment speed."/>
        <s v="Constant Prepayment Rate. The percentage of the mortgage balance outstanding for the previous month."/>
        <s v="Fair value.  This is a value derived from the appropriate mathematical equation."/>
        <s v="Discount rate"/>
        <s v="Benchmark Spread 2"/>
        <s v="Volume weighted average yield price."/>
        <s v="Mark-to-market price of a bond from a local bond pricing company. Not rippled. "/>
        <s v="Mark-to-market yield of a bond from a local bond pricing company. Not rippled."/>
        <s v="Weighted Average Coupon of instruments in an index using Par value."/>
        <s v="Field to show the option adjusted convexity "/>
        <s v="Modified Convexity of an instrument."/>
        <s v="Zero option adjusted price."/>
        <s v="Option Adjusted Price Value Basis Point."/>
        <s v="Option Adjusted Price Value Basis Point Conversion."/>
        <s v="Option Free Yield"/>
        <s v="Option Adjusted Duration"/>
        <s v="Modified Option Adjusted Duration"/>
        <s v="Modified Option Adjusted Convexity"/>
        <s v="Reference Opt Adjusted Spread Price"/>
        <s v="Reference Opt Adjusted Spread"/>
        <s v="Previous Prepayment Rate 1"/>
        <s v="Today's opening Discount Price"/>
        <s v="Today's highest Discount traded"/>
        <s v="Today's lowest Discount traded"/>
        <s v="Weighted average loan age"/>
        <s v="Yield of the Most recent last trade"/>
        <s v="Average yield for buy side transactions."/>
        <s v="Average price for the inter-dealer trades"/>
        <s v="Average yield for the inter-dealer trades"/>
        <s v="Average yield for sell or ask side transactions."/>
        <s v="Today's average trade volume"/>
        <s v="The OIS spread is the difference between the bond yield mid and the OIS mid rate. "/>
        <s v="Theoretical Yield"/>
        <s v="The difference (in basis points), between the YTM of a hypothetical bond with identical coupons and maturity. The actual bonds cash flows are discounted "/>
        <s v="Bid Discount High value"/>
        <s v="Bid Discount Low value"/>
        <s v="Bid Discount Open value"/>
        <s v="Average of mark-to-market yield"/>
        <s v="Average of mark-to-market price"/>
        <s v="The Median value calculated on Compound Yield"/>
        <s v="The Median value calculated on Simple Yield"/>
        <s v="High Compound Yield"/>
        <s v="High Simple Yield"/>
        <s v="Low Compound Yield"/>
        <s v="Low Simple Yield"/>
        <s v="Mid compound yield"/>
        <s v="The opening ask yield of the day"/>
        <s v="The highest ask yield of the day"/>
        <s v="The lowest ask yield of the day"/>
        <s v="Remaining principal balance"/>
        <s v="Un-scaled the total amount of debt instruments issued under a single issue."/>
        <s v="Carry cost."/>
        <s v="CRD Total"/>
        <s v="Roll-down"/>
        <s v="The Discount Spread for a Cash Loan."/>
        <s v="18 Month Loan Spread for a Cash Loan"/>
        <s v="3 year Loan Spread for a Cash Loan."/>
        <s v="4 year Loan Spread for a Cash Loan."/>
        <s v="5 year Loan Spread for a Cash Loan."/>
        <s v="Basis point spread between interest rate on a loan and the base rate"/>
        <s v="Basis point spread between interest rate on a loan and the base rate using ask yield"/>
        <s v="Basis point spread between interest rate on a loan and the base rate using bid yield"/>
        <s v="% value indicating the liklyhood the issuer will default on its debt obligations."/>
        <s v="High Discount Factor"/>
        <s v="High Zero Yield"/>
        <s v="Low Discount Factor"/>
        <s v="Low Zero Yield"/>
        <s v="Open Discount Factor"/>
        <s v="Open Zero Yield"/>
        <s v="Rippled calculated yield value for a zero coupon interest rate against time to maturity."/>
        <s v="Discount factor (e.g., COMP_INTEREST, EXPONENTIAL, SIMPLE). "/>
        <s v="Annualized Ask Price"/>
        <s v="Annualized Bid Price"/>
        <s v="Base Correlation"/>
        <s v="CDS 30 Days Correlation"/>
        <s v="CDS 60 Days Correlation"/>
        <s v="Close Par Yield"/>
        <s v="Close Short Rate"/>
        <s v="Convention Mid Spread 100 Coupon"/>
        <s v="Convention Mid Spread 25 Coupon"/>
        <s v="Convention Mid Spread 500 Coupon"/>
        <s v="High Par Yield"/>
        <s v="High Short Rate"/>
        <s v="Implied Forward Yield"/>
        <s v="Low Par Yield"/>
        <s v="Low Short Rate"/>
        <s v="Mid Price Premium"/>
        <s v="Mid Strike Price"/>
        <s v="Mid Upfront 25 Coupon"/>
        <s v="Open Par Yield"/>
        <s v="Open Short Rate"/>
        <s v="Par Mid Spread"/>
        <s v="Spread Over Rating"/>
        <s v="Spread Over Sector"/>
        <s v="Spread Over Sub Sector"/>
        <s v="Short Rate of Interest."/>
        <s v="The average maturity across a maturity band in years."/>
        <s v="Rippled calculated yield value when theoretically the price of the instrument always equals the Par amount (eg 100)."/>
        <s v="Reinvestment index based on zero interest rate"/>
        <s v="Number of issues which have advanced today."/>
        <s v="Number of issues which have declined today."/>
        <s v="Primary shares equivalent issue  amount x Last Price, the Market Capitalization of a security.  This is a decimal version of the integer type MKT_CAP field (#2744)"/>
        <s v="Theoretical open. Initially used for Dow Jones Indices."/>
        <s v="Number of Listed Shares for Calculation of Indices"/>
        <s v="Number Of Stocks"/>
        <s v="Percentage change of current close price comparing to 1 month historic close"/>
        <s v="Total return yield data calculated for bonds"/>
        <s v="The earnings per share for an equity or index divided by the current market price per share/"/>
        <s v="The weighting of an index's constituents in relation to the market's largest (or all share) index, expressed as a percentage."/>
        <s v="The index value with net dividends after applicable taxes reinvested"/>
        <s v="Index Divisor"/>
        <s v="25 days mean A-D (Advance-Decline) Ratio. "/>
        <s v="Index weight percentage based on nominal amount outstanding in relation to the market or master index"/>
        <s v="Un-scaled Index Value"/>
        <s v="Open Bid Price"/>
        <s v="Today's highest Bid price"/>
        <s v="Today's lowest Bid price"/>
        <s v="Mid high price"/>
        <s v="Mid low price"/>
        <s v="The average of Bid and Ask prices at market open"/>
        <s v="The number of bids made for an instrument."/>
        <s v="Today's America Close Ask"/>
        <s v="Today's America Close Bid"/>
        <s v="Today's America High Ask"/>
        <s v="Today's America High Bid"/>
        <s v="Today's America Low Ask"/>
        <s v="Today's America Low Bid"/>
        <s v="Today's America Open Ask"/>
        <s v="Today's America Open Bid"/>
        <s v="Today's Asia Close Ask"/>
        <s v="Today's Asia Close Bid"/>
        <s v="Today's Asia High Ask"/>
        <s v="Today's Asia High Bid"/>
        <s v="Today's Asia Low Ask"/>
        <s v="Today's Asia Low Bid "/>
        <s v="Today's Asia Open Ask"/>
        <s v="Today's Asia Open Bid"/>
        <s v="Today's Europe Close Ask"/>
        <s v="Today's Europe Close Bid"/>
        <s v="Today's Europe High Ask"/>
        <s v="Today's Europe High Bid"/>
        <s v="Today's Europe Low Ask"/>
        <s v="Today's Europe Low Bid"/>
        <s v="Today's Europe Open Ask"/>
        <s v="Today's Europe Open Bid"/>
        <s v="FX and Money close price for the Tokyo trading session"/>
        <s v="FX and Money close price for the London trading session"/>
        <s v="Contains either the non-weighted average price of all trades throughout the day or the average price of the most recent trade if that trade is bundled."/>
        <s v="FX and Money high price for the London trading session"/>
        <s v="FX and Money low price for the London trading session"/>
        <s v="FX and Money open price for the London trading session"/>
        <s v="FX and Money close price for the New York trading session"/>
        <s v="FX and Money high price for the Tokyo trading session"/>
        <s v="FX and Money low price for the Tokyo trading session"/>
        <s v="FX and Money open price for the Tokyo trading session"/>
        <s v="FX and Money high price for the New York trading session"/>
        <s v="FX and Money low price for the New York trading session"/>
        <s v="FX and Money open price for the New York trading session"/>
        <s v="The number of quotations received today"/>
        <s v="Fixing Price"/>
        <s v="Multiplier or divisor applied to price"/>
        <s v="The date on which the future, option or warrant expires."/>
        <s v="The forward securities sell price."/>
        <s v="The forward securities buy price"/>
        <s v="Forward outright basis point.  In an outright deal, the forward basis point used to agree the deal.   "/>
        <s v="Strike price; the price at which an option may be exercised"/>
        <s v="Premium/Discount Value"/>
        <s v="Implied Correlation"/>
        <s v="Indicates if a dataset is skewed to the left or right relative to a normal distribution"/>
        <s v="Indicates whether a dataset is peaked or flat relative to a normal distribution"/>
        <s v="Bid price premium"/>
        <s v="Ask price premium"/>
        <s v="Bid strike price"/>
        <s v="Ask strike price"/>
        <s v="Indicates the moneyness of the option. "/>
        <s v="Number of trades matched during a predefined interval/period. "/>
        <s v="Moving Average - Close Price - 20 Days"/>
        <s v="Price Moving Averages - 5 Days"/>
        <s v="Impact on the Swap by change of 1 Basis Point"/>
        <s v="A secondary open field corresponding to OPEN_PRC  for those quotation types involving more than one open field."/>
        <s v="Asset Swap Spread Ask"/>
        <s v="Asset Swap Spread Bid"/>
        <s v="The spread in basis points on ask side between the assets compared in the swap deal."/>
        <s v="Number of issues unchanged today."/>
        <s v="Number of issues making a new yearly low today."/>
        <s v="Number of issues which have made a new yearly high today."/>
        <s v="Un-scaled accumulated volume of issues that have advanced today."/>
        <s v="Un-scaled accumulated volume of issues that have declined today."/>
        <s v="Un-scaled accumulated volume of issues that are unchanged today."/>
        <s v="The total number of moves today."/>
        <s v="A-D (Advance-Decline) Ratio. ISSUES_ADV / ISSUES_DEC."/>
        <s v="Date of the Forecast."/>
        <s v="Float Exchange Rate."/>
        <s v="the highest of all the forecasts received by Reuters from market participants for an economic indicator"/>
        <s v="the lowest of all the forecasts received by Reuters from market participants for an economic indicator"/>
        <s v="the number of forecasts received by Reuters from market participants for an economic indicator"/>
        <s v="Effective Date of a particular action"/>
        <s v="The period, in months, all contributors' forecasts for a poll are evaluated for accuracy. Also known as the lookback period."/>
        <s v="Contributor performance weighted forecast"/>
        <s v="Accuracy of forecasts"/>
        <s v="Arithmetic mean of forecasts"/>
        <s v="The median value of  forecasts"/>
        <s v="The modal value of forecasts"/>
        <s v="the most recent Reuters forecast, sourced from market participants, for an economic indicator"/>
        <s v="A ranking measure of how accurate an individual contributor's forecasts has been for a poll over the CTB_PRD."/>
        <s v="Open interest. The total number of option or futures contracts that have not been closed or in the case of commodities  liquidated or offset by delivery."/>
        <s v="Total trade volume on the buy side"/>
        <s v="The number of trades hitting the bid price."/>
        <s v="The number of trades taking the Ask price."/>
        <s v="The underlying market price. This is the average of the first best bid/ask prices of the future instrument. It is used for volatility calculations."/>
        <s v="Total number of Trade"/>
        <s v="Sell Order Quantity Cumulative Total"/>
        <s v="Buy Order Quantity Cumulative Total"/>
        <s v="Accumulated quantity of ask side shares/contract received today"/>
        <s v="Accumulated numbers of ask orders received today"/>
        <s v="Accumulated numbers of bid orders received today"/>
        <s v="Accumulated quantity of bid side shares/contracts received today"/>
        <s v="Buy / Sell Strength Indicator"/>
        <s v="Put-Call Ratio - The quotient of aggregate put and call options volumes."/>
        <s v="Today's remaining trade quota balance"/>
        <s v="Total remaining trade quota balance"/>
        <s v="Total sell volume"/>
        <s v="Un-scaled Net Buy Value.  "/>
        <s v="Un-scaled Net Buy Volume "/>
        <s v="Total buy value"/>
        <s v="Total sell value "/>
        <s v="CDS DV01 or Spread DV01. The $ change in the value of the CDS for a given 1bp change in the CDS curve"/>
        <s v="Recovery Rate. % of principal that could be recovered following a credit event."/>
        <s v="For CDS indices. The difference between the price of the index CDS traded in the market and the fair value of the index."/>
        <s v="Theoretical Mid Price"/>
        <s v="Theoretical Mid Spread"/>
        <s v="Gamma."/>
        <s v="Theta."/>
        <s v="CDS Basis. CDS - Asset Swap Spread (or equivalent)."/>
        <s v="Altman's Z Score. Bankruptcy predictor."/>
        <s v="Upfront Mid traded with fixed coupon of 100 bps"/>
        <s v="Upfront Mid traded with fixed coupon of 500 bps"/>
        <s v="Fixed Coupon.  "/>
        <s v="A cancelled, inserted, retransmitted or irregular price.  Strategically to be used for &quot;last Ineligble&quot; trades only."/>
        <s v="Futures Implied Yield"/>
        <s v="This field should display the Convexity BIAS."/>
        <s v="For commodities the first or only opening price in an open range."/>
        <s v="For commodities the second opening price in an open range."/>
        <s v="Today's open range price(s) type."/>
        <s v="The number of options contracts exercised during the trading day."/>
        <s v="Total trade volume on the sell side"/>
        <s v="The day's total combined trading volume including spreads(strategy order) trades and implied order trades"/>
        <s v="Turnover of all Basket and Block trades."/>
        <s v="For commodities today's first or only closing price"/>
        <s v="For commodities today's second closing price. Zero if there is only one closing price."/>
        <s v="Primary last activity fields  the most recent held in PRIMACT_1."/>
        <s v="Value of the latest trade or Trade Turnover  (TRDVOL_1 x TRDPRC_1)."/>
        <s v="First traded price of the day, used when venue provides opening price not based on first trade of the day."/>
        <s v="Official Bid price posted at end of pit or ring trading period."/>
        <s v="Official Ask price posted at end of pit or ring trading period."/>
        <s v="Real time bid price as reported by exchange.  May continue to update after Official prices are posted."/>
        <s v="Real time ask price as reported by exchange.  May continue to update after Official prices are posted."/>
        <s v="Theoretical Value of an instrument as given by Black-Sholes or other model."/>
        <s v="Vega."/>
        <s v="Rho."/>
        <s v="30 Day at-the-money implied volatility index for call options"/>
        <s v="30 Day at-the-money implied volatility index for put options"/>
        <s v="60 Day at-the-money implied volatility index for call options"/>
        <s v="60 Day at-the-money implied volatility index for put options"/>
        <s v="90 Day at-the-money implied volatility index for call options"/>
        <s v="90 Day at-the-money implied volatility index for put options"/>
        <s v="Volume open interest ratio"/>
        <s v="Nominal price for liquidating deep-out-of-the-money options contracts. Defined as the lowest possible tradable price for this option. Trades on options done at a price equal to zero are considered cabinet trades."/>
        <s v="The number of shares, lots, or contracts willing to buy at the implied best ask price, STRGY_IMPA"/>
        <s v="The number of shares, lots, or contracts willing to buy at the implied best bid price, STRGY_IMPB"/>
        <s v="Latest Implied Best Ask Price"/>
        <s v="Latest Implied Best Bid Price"/>
        <s v="The highest value this year or period. The content of this field is further qualified by FID 1075."/>
        <s v="The lowest value this year or period. The content of this field is further qualified by FID 1076."/>
        <s v="The highest value ever achieved by this issue."/>
        <s v="The lowest value ever achieved by this issue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2">
  <r>
    <s v="Equities"/>
    <x v="0"/>
    <x v="0"/>
    <x v="0"/>
    <x v="0"/>
    <x v="0"/>
  </r>
  <r>
    <s v="Equities"/>
    <x v="0"/>
    <x v="1"/>
    <x v="1"/>
    <x v="1"/>
    <x v="1"/>
  </r>
  <r>
    <s v="Equities"/>
    <x v="0"/>
    <x v="2"/>
    <x v="2"/>
    <x v="2"/>
    <x v="2"/>
  </r>
  <r>
    <s v="Equities"/>
    <x v="0"/>
    <x v="3"/>
    <x v="3"/>
    <x v="3"/>
    <x v="3"/>
  </r>
  <r>
    <s v="Equities"/>
    <x v="0"/>
    <x v="4"/>
    <x v="4"/>
    <x v="4"/>
    <x v="4"/>
  </r>
  <r>
    <s v="Equities"/>
    <x v="0"/>
    <x v="5"/>
    <x v="5"/>
    <x v="5"/>
    <x v="5"/>
  </r>
  <r>
    <s v="Equities"/>
    <x v="0"/>
    <x v="6"/>
    <x v="6"/>
    <x v="6"/>
    <x v="6"/>
  </r>
  <r>
    <s v="Equities"/>
    <x v="0"/>
    <x v="7"/>
    <x v="7"/>
    <x v="7"/>
    <x v="7"/>
  </r>
  <r>
    <s v="Equities"/>
    <x v="0"/>
    <x v="8"/>
    <x v="8"/>
    <x v="8"/>
    <x v="8"/>
  </r>
  <r>
    <s v="Equities"/>
    <x v="0"/>
    <x v="9"/>
    <x v="9"/>
    <x v="9"/>
    <x v="9"/>
  </r>
  <r>
    <s v="Equities"/>
    <x v="0"/>
    <x v="10"/>
    <x v="10"/>
    <x v="10"/>
    <x v="10"/>
  </r>
  <r>
    <s v="Equities"/>
    <x v="0"/>
    <x v="11"/>
    <x v="11"/>
    <x v="11"/>
    <x v="11"/>
  </r>
  <r>
    <s v="Equities"/>
    <x v="0"/>
    <x v="12"/>
    <x v="12"/>
    <x v="12"/>
    <x v="12"/>
  </r>
  <r>
    <s v="Equities"/>
    <x v="0"/>
    <x v="13"/>
    <x v="13"/>
    <x v="13"/>
    <x v="13"/>
  </r>
  <r>
    <s v="Equities"/>
    <x v="0"/>
    <x v="14"/>
    <x v="14"/>
    <x v="14"/>
    <x v="14"/>
  </r>
  <r>
    <s v="Equities"/>
    <x v="0"/>
    <x v="15"/>
    <x v="15"/>
    <x v="15"/>
    <x v="15"/>
  </r>
  <r>
    <s v="Equities"/>
    <x v="0"/>
    <x v="16"/>
    <x v="16"/>
    <x v="16"/>
    <x v="16"/>
  </r>
  <r>
    <s v="Equities"/>
    <x v="0"/>
    <x v="17"/>
    <x v="17"/>
    <x v="17"/>
    <x v="17"/>
  </r>
  <r>
    <s v="Equities"/>
    <x v="0"/>
    <x v="18"/>
    <x v="18"/>
    <x v="18"/>
    <x v="18"/>
  </r>
  <r>
    <s v="Equities"/>
    <x v="0"/>
    <x v="19"/>
    <x v="19"/>
    <x v="19"/>
    <x v="19"/>
  </r>
  <r>
    <s v="Equities"/>
    <x v="0"/>
    <x v="20"/>
    <x v="20"/>
    <x v="20"/>
    <x v="20"/>
  </r>
  <r>
    <s v="Equities"/>
    <x v="0"/>
    <x v="21"/>
    <x v="21"/>
    <x v="21"/>
    <x v="21"/>
  </r>
  <r>
    <s v="Equities"/>
    <x v="0"/>
    <x v="22"/>
    <x v="22"/>
    <x v="22"/>
    <x v="22"/>
  </r>
  <r>
    <s v="Equities"/>
    <x v="0"/>
    <x v="23"/>
    <x v="23"/>
    <x v="23"/>
    <x v="23"/>
  </r>
  <r>
    <s v="Equities"/>
    <x v="0"/>
    <x v="24"/>
    <x v="24"/>
    <x v="24"/>
    <x v="24"/>
  </r>
  <r>
    <s v="Equities"/>
    <x v="0"/>
    <x v="25"/>
    <x v="25"/>
    <x v="25"/>
    <x v="25"/>
  </r>
  <r>
    <s v="Equities"/>
    <x v="0"/>
    <x v="26"/>
    <x v="26"/>
    <x v="26"/>
    <x v="26"/>
  </r>
  <r>
    <s v="Equities"/>
    <x v="0"/>
    <x v="27"/>
    <x v="27"/>
    <x v="27"/>
    <x v="27"/>
  </r>
  <r>
    <s v="Equities"/>
    <x v="0"/>
    <x v="28"/>
    <x v="28"/>
    <x v="28"/>
    <x v="28"/>
  </r>
  <r>
    <s v="Equities"/>
    <x v="0"/>
    <x v="29"/>
    <x v="29"/>
    <x v="29"/>
    <x v="29"/>
  </r>
  <r>
    <s v="Equities"/>
    <x v="0"/>
    <x v="30"/>
    <x v="30"/>
    <x v="30"/>
    <x v="30"/>
  </r>
  <r>
    <s v="Equities"/>
    <x v="0"/>
    <x v="31"/>
    <x v="31"/>
    <x v="31"/>
    <x v="31"/>
  </r>
  <r>
    <s v="Equities"/>
    <x v="0"/>
    <x v="32"/>
    <x v="32"/>
    <x v="32"/>
    <x v="32"/>
  </r>
  <r>
    <s v="Equities"/>
    <x v="0"/>
    <x v="33"/>
    <x v="33"/>
    <x v="33"/>
    <x v="33"/>
  </r>
  <r>
    <s v="Equities"/>
    <x v="0"/>
    <x v="34"/>
    <x v="34"/>
    <x v="34"/>
    <x v="34"/>
  </r>
  <r>
    <s v="Equities"/>
    <x v="0"/>
    <x v="35"/>
    <x v="35"/>
    <x v="35"/>
    <x v="35"/>
  </r>
  <r>
    <s v="Equities"/>
    <x v="0"/>
    <x v="36"/>
    <x v="36"/>
    <x v="36"/>
    <x v="36"/>
  </r>
  <r>
    <s v="Equities"/>
    <x v="0"/>
    <x v="37"/>
    <x v="37"/>
    <x v="37"/>
    <x v="37"/>
  </r>
  <r>
    <s v="Equities"/>
    <x v="0"/>
    <x v="38"/>
    <x v="38"/>
    <x v="38"/>
    <x v="38"/>
  </r>
  <r>
    <s v="Equities"/>
    <x v="0"/>
    <x v="39"/>
    <x v="39"/>
    <x v="39"/>
    <x v="39"/>
  </r>
  <r>
    <s v="Equities"/>
    <x v="0"/>
    <x v="40"/>
    <x v="40"/>
    <x v="40"/>
    <x v="40"/>
  </r>
  <r>
    <s v="Equities"/>
    <x v="0"/>
    <x v="41"/>
    <x v="41"/>
    <x v="41"/>
    <x v="41"/>
  </r>
  <r>
    <s v="Equities"/>
    <x v="0"/>
    <x v="42"/>
    <x v="42"/>
    <x v="42"/>
    <x v="42"/>
  </r>
  <r>
    <s v="Equities"/>
    <x v="0"/>
    <x v="43"/>
    <x v="43"/>
    <x v="43"/>
    <x v="43"/>
  </r>
  <r>
    <s v="Equities"/>
    <x v="0"/>
    <x v="44"/>
    <x v="44"/>
    <x v="44"/>
    <x v="44"/>
  </r>
  <r>
    <s v="Equities"/>
    <x v="0"/>
    <x v="45"/>
    <x v="45"/>
    <x v="45"/>
    <x v="45"/>
  </r>
  <r>
    <s v="Equities"/>
    <x v="0"/>
    <x v="46"/>
    <x v="46"/>
    <x v="46"/>
    <x v="46"/>
  </r>
  <r>
    <s v="Equities"/>
    <x v="0"/>
    <x v="47"/>
    <x v="47"/>
    <x v="47"/>
    <x v="47"/>
  </r>
  <r>
    <s v="Equities"/>
    <x v="0"/>
    <x v="48"/>
    <x v="48"/>
    <x v="48"/>
    <x v="48"/>
  </r>
  <r>
    <s v="Equities"/>
    <x v="0"/>
    <x v="49"/>
    <x v="49"/>
    <x v="49"/>
    <x v="49"/>
  </r>
  <r>
    <s v="Equities"/>
    <x v="0"/>
    <x v="50"/>
    <x v="50"/>
    <x v="50"/>
    <x v="50"/>
  </r>
  <r>
    <s v="Equities"/>
    <x v="0"/>
    <x v="51"/>
    <x v="51"/>
    <x v="51"/>
    <x v="51"/>
  </r>
  <r>
    <s v="Equities"/>
    <x v="0"/>
    <x v="52"/>
    <x v="52"/>
    <x v="52"/>
    <x v="52"/>
  </r>
  <r>
    <s v="Equities"/>
    <x v="0"/>
    <x v="53"/>
    <x v="53"/>
    <x v="53"/>
    <x v="53"/>
  </r>
  <r>
    <s v="Equities"/>
    <x v="0"/>
    <x v="54"/>
    <x v="54"/>
    <x v="54"/>
    <x v="54"/>
  </r>
  <r>
    <s v="Equities"/>
    <x v="0"/>
    <x v="55"/>
    <x v="55"/>
    <x v="55"/>
    <x v="55"/>
  </r>
  <r>
    <s v="Equities"/>
    <x v="0"/>
    <x v="56"/>
    <x v="56"/>
    <x v="56"/>
    <x v="56"/>
  </r>
  <r>
    <s v="Equities"/>
    <x v="0"/>
    <x v="57"/>
    <x v="57"/>
    <x v="57"/>
    <x v="57"/>
  </r>
  <r>
    <s v="Equities"/>
    <x v="0"/>
    <x v="58"/>
    <x v="58"/>
    <x v="58"/>
    <x v="58"/>
  </r>
  <r>
    <s v="Equities"/>
    <x v="0"/>
    <x v="59"/>
    <x v="59"/>
    <x v="59"/>
    <x v="59"/>
  </r>
  <r>
    <s v="Equities"/>
    <x v="0"/>
    <x v="60"/>
    <x v="60"/>
    <x v="60"/>
    <x v="60"/>
  </r>
  <r>
    <s v="Equities"/>
    <x v="0"/>
    <x v="61"/>
    <x v="61"/>
    <x v="61"/>
    <x v="61"/>
  </r>
  <r>
    <s v="Equities"/>
    <x v="0"/>
    <x v="62"/>
    <x v="62"/>
    <x v="62"/>
    <x v="62"/>
  </r>
  <r>
    <s v="Equities"/>
    <x v="0"/>
    <x v="63"/>
    <x v="63"/>
    <x v="63"/>
    <x v="63"/>
  </r>
  <r>
    <s v="Equities"/>
    <x v="0"/>
    <x v="64"/>
    <x v="64"/>
    <x v="64"/>
    <x v="64"/>
  </r>
  <r>
    <s v="Equities"/>
    <x v="0"/>
    <x v="65"/>
    <x v="65"/>
    <x v="65"/>
    <x v="65"/>
  </r>
  <r>
    <s v="Equities"/>
    <x v="0"/>
    <x v="66"/>
    <x v="66"/>
    <x v="66"/>
    <x v="66"/>
  </r>
  <r>
    <s v="Equities"/>
    <x v="0"/>
    <x v="67"/>
    <x v="67"/>
    <x v="67"/>
    <x v="67"/>
  </r>
  <r>
    <s v="Equities"/>
    <x v="0"/>
    <x v="68"/>
    <x v="68"/>
    <x v="68"/>
    <x v="68"/>
  </r>
  <r>
    <s v="Equities"/>
    <x v="0"/>
    <x v="69"/>
    <x v="69"/>
    <x v="69"/>
    <x v="69"/>
  </r>
  <r>
    <s v="Equities"/>
    <x v="0"/>
    <x v="70"/>
    <x v="70"/>
    <x v="70"/>
    <x v="69"/>
  </r>
  <r>
    <s v="Equities"/>
    <x v="0"/>
    <x v="71"/>
    <x v="71"/>
    <x v="71"/>
    <x v="70"/>
  </r>
  <r>
    <s v="Equities"/>
    <x v="0"/>
    <x v="72"/>
    <x v="72"/>
    <x v="72"/>
    <x v="71"/>
  </r>
  <r>
    <s v="Equities"/>
    <x v="0"/>
    <x v="73"/>
    <x v="73"/>
    <x v="73"/>
    <x v="72"/>
  </r>
  <r>
    <s v="Equities"/>
    <x v="0"/>
    <x v="74"/>
    <x v="74"/>
    <x v="74"/>
    <x v="73"/>
  </r>
  <r>
    <s v="Equities"/>
    <x v="0"/>
    <x v="75"/>
    <x v="75"/>
    <x v="75"/>
    <x v="74"/>
  </r>
  <r>
    <s v="Equities"/>
    <x v="0"/>
    <x v="76"/>
    <x v="76"/>
    <x v="76"/>
    <x v="75"/>
  </r>
  <r>
    <s v="Equities"/>
    <x v="0"/>
    <x v="77"/>
    <x v="77"/>
    <x v="77"/>
    <x v="76"/>
  </r>
  <r>
    <s v="Equities"/>
    <x v="0"/>
    <x v="78"/>
    <x v="78"/>
    <x v="78"/>
    <x v="77"/>
  </r>
  <r>
    <s v="Equities"/>
    <x v="0"/>
    <x v="79"/>
    <x v="79"/>
    <x v="79"/>
    <x v="78"/>
  </r>
  <r>
    <s v="Equities"/>
    <x v="0"/>
    <x v="80"/>
    <x v="80"/>
    <x v="80"/>
    <x v="79"/>
  </r>
  <r>
    <s v="Equities"/>
    <x v="0"/>
    <x v="81"/>
    <x v="81"/>
    <x v="81"/>
    <x v="80"/>
  </r>
  <r>
    <s v="Equities"/>
    <x v="0"/>
    <x v="82"/>
    <x v="82"/>
    <x v="82"/>
    <x v="81"/>
  </r>
  <r>
    <s v="Equities"/>
    <x v="0"/>
    <x v="83"/>
    <x v="83"/>
    <x v="83"/>
    <x v="82"/>
  </r>
  <r>
    <s v="Equities"/>
    <x v="0"/>
    <x v="84"/>
    <x v="84"/>
    <x v="84"/>
    <x v="83"/>
  </r>
  <r>
    <s v="Equities"/>
    <x v="0"/>
    <x v="85"/>
    <x v="85"/>
    <x v="85"/>
    <x v="84"/>
  </r>
  <r>
    <s v="Equities"/>
    <x v="0"/>
    <x v="86"/>
    <x v="86"/>
    <x v="86"/>
    <x v="85"/>
  </r>
  <r>
    <s v="Equities"/>
    <x v="0"/>
    <x v="87"/>
    <x v="87"/>
    <x v="87"/>
    <x v="86"/>
  </r>
  <r>
    <s v="Equities"/>
    <x v="0"/>
    <x v="88"/>
    <x v="88"/>
    <x v="88"/>
    <x v="87"/>
  </r>
  <r>
    <s v="Equities"/>
    <x v="0"/>
    <x v="89"/>
    <x v="89"/>
    <x v="89"/>
    <x v="88"/>
  </r>
  <r>
    <s v="Equities"/>
    <x v="0"/>
    <x v="90"/>
    <x v="90"/>
    <x v="90"/>
    <x v="88"/>
  </r>
  <r>
    <s v="Equities"/>
    <x v="0"/>
    <x v="91"/>
    <x v="91"/>
    <x v="91"/>
    <x v="89"/>
  </r>
  <r>
    <s v="Equities"/>
    <x v="0"/>
    <x v="92"/>
    <x v="92"/>
    <x v="92"/>
    <x v="89"/>
  </r>
  <r>
    <s v="Equities"/>
    <x v="0"/>
    <x v="93"/>
    <x v="93"/>
    <x v="93"/>
    <x v="90"/>
  </r>
  <r>
    <s v="Equities"/>
    <x v="0"/>
    <x v="94"/>
    <x v="94"/>
    <x v="94"/>
    <x v="90"/>
  </r>
  <r>
    <s v="Equities"/>
    <x v="0"/>
    <x v="95"/>
    <x v="95"/>
    <x v="95"/>
    <x v="91"/>
  </r>
  <r>
    <s v="Equities"/>
    <x v="0"/>
    <x v="96"/>
    <x v="96"/>
    <x v="96"/>
    <x v="92"/>
  </r>
  <r>
    <s v="Equities"/>
    <x v="0"/>
    <x v="97"/>
    <x v="97"/>
    <x v="97"/>
    <x v="93"/>
  </r>
  <r>
    <s v="Equities"/>
    <x v="0"/>
    <x v="98"/>
    <x v="98"/>
    <x v="98"/>
    <x v="94"/>
  </r>
  <r>
    <s v="Equities"/>
    <x v="0"/>
    <x v="99"/>
    <x v="99"/>
    <x v="99"/>
    <x v="95"/>
  </r>
  <r>
    <s v="Equities"/>
    <x v="0"/>
    <x v="100"/>
    <x v="100"/>
    <x v="100"/>
    <x v="96"/>
  </r>
  <r>
    <s v="Equities"/>
    <x v="0"/>
    <x v="101"/>
    <x v="101"/>
    <x v="101"/>
    <x v="97"/>
  </r>
  <r>
    <s v="Equities"/>
    <x v="0"/>
    <x v="102"/>
    <x v="102"/>
    <x v="102"/>
    <x v="98"/>
  </r>
  <r>
    <s v="Equities"/>
    <x v="0"/>
    <x v="103"/>
    <x v="103"/>
    <x v="103"/>
    <x v="99"/>
  </r>
  <r>
    <s v="Equities"/>
    <x v="0"/>
    <x v="104"/>
    <x v="104"/>
    <x v="104"/>
    <x v="100"/>
  </r>
  <r>
    <s v="Equities"/>
    <x v="0"/>
    <x v="105"/>
    <x v="105"/>
    <x v="105"/>
    <x v="101"/>
  </r>
  <r>
    <s v="Equities"/>
    <x v="0"/>
    <x v="106"/>
    <x v="106"/>
    <x v="106"/>
    <x v="102"/>
  </r>
  <r>
    <s v="Equities"/>
    <x v="0"/>
    <x v="107"/>
    <x v="107"/>
    <x v="107"/>
    <x v="103"/>
  </r>
  <r>
    <s v="Equities"/>
    <x v="0"/>
    <x v="108"/>
    <x v="108"/>
    <x v="108"/>
    <x v="104"/>
  </r>
  <r>
    <s v="Equities"/>
    <x v="0"/>
    <x v="109"/>
    <x v="109"/>
    <x v="109"/>
    <x v="105"/>
  </r>
  <r>
    <s v="Equities"/>
    <x v="0"/>
    <x v="110"/>
    <x v="110"/>
    <x v="110"/>
    <x v="106"/>
  </r>
  <r>
    <s v="Equities"/>
    <x v="0"/>
    <x v="111"/>
    <x v="111"/>
    <x v="111"/>
    <x v="107"/>
  </r>
  <r>
    <s v="Equities"/>
    <x v="0"/>
    <x v="112"/>
    <x v="112"/>
    <x v="112"/>
    <x v="108"/>
  </r>
  <r>
    <s v="Equities"/>
    <x v="0"/>
    <x v="113"/>
    <x v="113"/>
    <x v="113"/>
    <x v="109"/>
  </r>
  <r>
    <s v="Equities"/>
    <x v="0"/>
    <x v="114"/>
    <x v="114"/>
    <x v="114"/>
    <x v="110"/>
  </r>
  <r>
    <s v="Equities"/>
    <x v="0"/>
    <x v="115"/>
    <x v="115"/>
    <x v="115"/>
    <x v="111"/>
  </r>
  <r>
    <s v="Equities"/>
    <x v="0"/>
    <x v="116"/>
    <x v="116"/>
    <x v="116"/>
    <x v="112"/>
  </r>
  <r>
    <s v="Equities"/>
    <x v="0"/>
    <x v="117"/>
    <x v="117"/>
    <x v="117"/>
    <x v="113"/>
  </r>
  <r>
    <s v="Equities"/>
    <x v="0"/>
    <x v="118"/>
    <x v="118"/>
    <x v="118"/>
    <x v="114"/>
  </r>
  <r>
    <s v="Equities"/>
    <x v="0"/>
    <x v="119"/>
    <x v="119"/>
    <x v="119"/>
    <x v="115"/>
  </r>
  <r>
    <s v="Equities"/>
    <x v="0"/>
    <x v="120"/>
    <x v="120"/>
    <x v="120"/>
    <x v="116"/>
  </r>
  <r>
    <s v="Equities"/>
    <x v="0"/>
    <x v="121"/>
    <x v="121"/>
    <x v="121"/>
    <x v="117"/>
  </r>
  <r>
    <s v="Equities"/>
    <x v="0"/>
    <x v="122"/>
    <x v="122"/>
    <x v="122"/>
    <x v="118"/>
  </r>
  <r>
    <s v="Equities"/>
    <x v="0"/>
    <x v="123"/>
    <x v="123"/>
    <x v="123"/>
    <x v="119"/>
  </r>
  <r>
    <s v="Equities"/>
    <x v="0"/>
    <x v="124"/>
    <x v="124"/>
    <x v="124"/>
    <x v="120"/>
  </r>
  <r>
    <s v="Equities"/>
    <x v="0"/>
    <x v="125"/>
    <x v="125"/>
    <x v="125"/>
    <x v="121"/>
  </r>
  <r>
    <s v="Equities"/>
    <x v="0"/>
    <x v="126"/>
    <x v="126"/>
    <x v="126"/>
    <x v="122"/>
  </r>
  <r>
    <s v="Equities"/>
    <x v="0"/>
    <x v="127"/>
    <x v="127"/>
    <x v="127"/>
    <x v="123"/>
  </r>
  <r>
    <s v="Equities"/>
    <x v="0"/>
    <x v="128"/>
    <x v="128"/>
    <x v="128"/>
    <x v="124"/>
  </r>
  <r>
    <s v="Equities"/>
    <x v="0"/>
    <x v="129"/>
    <x v="129"/>
    <x v="129"/>
    <x v="125"/>
  </r>
  <r>
    <s v="Equities"/>
    <x v="0"/>
    <x v="130"/>
    <x v="130"/>
    <x v="130"/>
    <x v="126"/>
  </r>
  <r>
    <s v="Equities"/>
    <x v="0"/>
    <x v="131"/>
    <x v="131"/>
    <x v="131"/>
    <x v="127"/>
  </r>
  <r>
    <s v="Equities"/>
    <x v="0"/>
    <x v="132"/>
    <x v="132"/>
    <x v="132"/>
    <x v="128"/>
  </r>
  <r>
    <s v="Equities"/>
    <x v="0"/>
    <x v="133"/>
    <x v="133"/>
    <x v="133"/>
    <x v="129"/>
  </r>
  <r>
    <s v="Equities"/>
    <x v="0"/>
    <x v="134"/>
    <x v="134"/>
    <x v="134"/>
    <x v="130"/>
  </r>
  <r>
    <s v="Equities"/>
    <x v="0"/>
    <x v="135"/>
    <x v="135"/>
    <x v="135"/>
    <x v="131"/>
  </r>
  <r>
    <s v="Equities"/>
    <x v="0"/>
    <x v="136"/>
    <x v="136"/>
    <x v="136"/>
    <x v="132"/>
  </r>
  <r>
    <s v="Equities"/>
    <x v="0"/>
    <x v="137"/>
    <x v="137"/>
    <x v="137"/>
    <x v="133"/>
  </r>
  <r>
    <s v="Equities"/>
    <x v="0"/>
    <x v="138"/>
    <x v="138"/>
    <x v="138"/>
    <x v="134"/>
  </r>
  <r>
    <s v="Equities"/>
    <x v="0"/>
    <x v="139"/>
    <x v="139"/>
    <x v="139"/>
    <x v="135"/>
  </r>
  <r>
    <s v="Equities"/>
    <x v="0"/>
    <x v="140"/>
    <x v="140"/>
    <x v="140"/>
    <x v="136"/>
  </r>
  <r>
    <s v="Equities"/>
    <x v="0"/>
    <x v="141"/>
    <x v="141"/>
    <x v="141"/>
    <x v="137"/>
  </r>
  <r>
    <s v="Open_Fund_Unit"/>
    <x v="1"/>
    <x v="0"/>
    <x v="0"/>
    <x v="0"/>
    <x v="0"/>
  </r>
  <r>
    <s v="Open_Fund_Unit"/>
    <x v="1"/>
    <x v="1"/>
    <x v="1"/>
    <x v="1"/>
    <x v="1"/>
  </r>
  <r>
    <s v="Open_Fund_Unit"/>
    <x v="1"/>
    <x v="2"/>
    <x v="2"/>
    <x v="2"/>
    <x v="2"/>
  </r>
  <r>
    <s v="Open_Fund_Unit"/>
    <x v="1"/>
    <x v="3"/>
    <x v="3"/>
    <x v="3"/>
    <x v="3"/>
  </r>
  <r>
    <s v="Open_Fund_Unit"/>
    <x v="1"/>
    <x v="142"/>
    <x v="142"/>
    <x v="142"/>
    <x v="138"/>
  </r>
  <r>
    <s v="Open_Fund_Unit"/>
    <x v="1"/>
    <x v="143"/>
    <x v="143"/>
    <x v="143"/>
    <x v="139"/>
  </r>
  <r>
    <s v="Open_Fund_Unit"/>
    <x v="1"/>
    <x v="4"/>
    <x v="4"/>
    <x v="4"/>
    <x v="4"/>
  </r>
  <r>
    <s v="Open_Fund_Unit"/>
    <x v="1"/>
    <x v="5"/>
    <x v="5"/>
    <x v="5"/>
    <x v="5"/>
  </r>
  <r>
    <s v="Open_Fund_Unit"/>
    <x v="1"/>
    <x v="6"/>
    <x v="6"/>
    <x v="6"/>
    <x v="6"/>
  </r>
  <r>
    <s v="Open_Fund_Unit"/>
    <x v="1"/>
    <x v="7"/>
    <x v="7"/>
    <x v="7"/>
    <x v="7"/>
  </r>
  <r>
    <s v="Open_Fund_Unit"/>
    <x v="1"/>
    <x v="10"/>
    <x v="10"/>
    <x v="10"/>
    <x v="10"/>
  </r>
  <r>
    <s v="Open_Fund_Unit"/>
    <x v="1"/>
    <x v="11"/>
    <x v="11"/>
    <x v="11"/>
    <x v="11"/>
  </r>
  <r>
    <s v="Open_Fund_Unit"/>
    <x v="1"/>
    <x v="12"/>
    <x v="12"/>
    <x v="12"/>
    <x v="12"/>
  </r>
  <r>
    <s v="Open_Fund_Unit"/>
    <x v="1"/>
    <x v="13"/>
    <x v="13"/>
    <x v="13"/>
    <x v="13"/>
  </r>
  <r>
    <s v="Open_Fund_Unit"/>
    <x v="1"/>
    <x v="14"/>
    <x v="14"/>
    <x v="14"/>
    <x v="14"/>
  </r>
  <r>
    <s v="Open_Fund_Unit"/>
    <x v="1"/>
    <x v="15"/>
    <x v="15"/>
    <x v="15"/>
    <x v="15"/>
  </r>
  <r>
    <s v="Open_Fund_Unit"/>
    <x v="1"/>
    <x v="16"/>
    <x v="16"/>
    <x v="16"/>
    <x v="16"/>
  </r>
  <r>
    <s v="Open_Fund_Unit"/>
    <x v="1"/>
    <x v="17"/>
    <x v="17"/>
    <x v="17"/>
    <x v="17"/>
  </r>
  <r>
    <s v="Open_Fund_Unit"/>
    <x v="1"/>
    <x v="18"/>
    <x v="18"/>
    <x v="18"/>
    <x v="18"/>
  </r>
  <r>
    <s v="Open_Fund_Unit"/>
    <x v="1"/>
    <x v="19"/>
    <x v="19"/>
    <x v="19"/>
    <x v="19"/>
  </r>
  <r>
    <s v="Open_Fund_Unit"/>
    <x v="1"/>
    <x v="21"/>
    <x v="21"/>
    <x v="21"/>
    <x v="21"/>
  </r>
  <r>
    <s v="Open_Fund_Unit"/>
    <x v="1"/>
    <x v="25"/>
    <x v="25"/>
    <x v="25"/>
    <x v="25"/>
  </r>
  <r>
    <s v="Open_Fund_Unit"/>
    <x v="1"/>
    <x v="26"/>
    <x v="26"/>
    <x v="26"/>
    <x v="26"/>
  </r>
  <r>
    <s v="Open_Fund_Unit"/>
    <x v="1"/>
    <x v="30"/>
    <x v="30"/>
    <x v="30"/>
    <x v="30"/>
  </r>
  <r>
    <s v="Open_Fund_Unit"/>
    <x v="1"/>
    <x v="31"/>
    <x v="31"/>
    <x v="31"/>
    <x v="31"/>
  </r>
  <r>
    <s v="Open_Fund_Unit"/>
    <x v="1"/>
    <x v="32"/>
    <x v="32"/>
    <x v="32"/>
    <x v="32"/>
  </r>
  <r>
    <s v="Open_Fund_Unit"/>
    <x v="1"/>
    <x v="144"/>
    <x v="144"/>
    <x v="144"/>
    <x v="140"/>
  </r>
  <r>
    <s v="Open_Fund_Unit"/>
    <x v="1"/>
    <x v="145"/>
    <x v="145"/>
    <x v="145"/>
    <x v="141"/>
  </r>
  <r>
    <s v="Open_Fund_Unit"/>
    <x v="1"/>
    <x v="41"/>
    <x v="41"/>
    <x v="41"/>
    <x v="41"/>
  </r>
  <r>
    <s v="Open_Fund_Unit"/>
    <x v="1"/>
    <x v="42"/>
    <x v="42"/>
    <x v="42"/>
    <x v="42"/>
  </r>
  <r>
    <s v="Open_Fund_Unit"/>
    <x v="1"/>
    <x v="43"/>
    <x v="43"/>
    <x v="43"/>
    <x v="43"/>
  </r>
  <r>
    <s v="Open_Fund_Unit"/>
    <x v="1"/>
    <x v="44"/>
    <x v="44"/>
    <x v="44"/>
    <x v="44"/>
  </r>
  <r>
    <s v="Open_Fund_Unit"/>
    <x v="1"/>
    <x v="45"/>
    <x v="45"/>
    <x v="45"/>
    <x v="45"/>
  </r>
  <r>
    <s v="Open_Fund_Unit"/>
    <x v="1"/>
    <x v="146"/>
    <x v="146"/>
    <x v="146"/>
    <x v="142"/>
  </r>
  <r>
    <s v="Open_Fund_Unit"/>
    <x v="1"/>
    <x v="62"/>
    <x v="62"/>
    <x v="62"/>
    <x v="62"/>
  </r>
  <r>
    <s v="Open_Fund_Unit"/>
    <x v="1"/>
    <x v="147"/>
    <x v="147"/>
    <x v="147"/>
    <x v="143"/>
  </r>
  <r>
    <s v="Warrants"/>
    <x v="2"/>
    <x v="0"/>
    <x v="0"/>
    <x v="0"/>
    <x v="0"/>
  </r>
  <r>
    <s v="Warrants"/>
    <x v="2"/>
    <x v="1"/>
    <x v="1"/>
    <x v="1"/>
    <x v="1"/>
  </r>
  <r>
    <s v="Warrants"/>
    <x v="2"/>
    <x v="2"/>
    <x v="2"/>
    <x v="2"/>
    <x v="2"/>
  </r>
  <r>
    <s v="Warrants"/>
    <x v="2"/>
    <x v="3"/>
    <x v="3"/>
    <x v="3"/>
    <x v="3"/>
  </r>
  <r>
    <s v="Warrants"/>
    <x v="2"/>
    <x v="143"/>
    <x v="143"/>
    <x v="143"/>
    <x v="139"/>
  </r>
  <r>
    <s v="Warrants"/>
    <x v="2"/>
    <x v="4"/>
    <x v="4"/>
    <x v="4"/>
    <x v="4"/>
  </r>
  <r>
    <s v="Warrants"/>
    <x v="2"/>
    <x v="5"/>
    <x v="5"/>
    <x v="5"/>
    <x v="5"/>
  </r>
  <r>
    <s v="Warrants"/>
    <x v="2"/>
    <x v="7"/>
    <x v="7"/>
    <x v="7"/>
    <x v="7"/>
  </r>
  <r>
    <s v="Warrants"/>
    <x v="2"/>
    <x v="8"/>
    <x v="8"/>
    <x v="8"/>
    <x v="8"/>
  </r>
  <r>
    <s v="Warrants"/>
    <x v="2"/>
    <x v="9"/>
    <x v="9"/>
    <x v="9"/>
    <x v="9"/>
  </r>
  <r>
    <s v="Warrants"/>
    <x v="2"/>
    <x v="148"/>
    <x v="148"/>
    <x v="148"/>
    <x v="144"/>
  </r>
  <r>
    <s v="Warrants"/>
    <x v="2"/>
    <x v="149"/>
    <x v="149"/>
    <x v="149"/>
    <x v="145"/>
  </r>
  <r>
    <s v="Warrants"/>
    <x v="2"/>
    <x v="12"/>
    <x v="12"/>
    <x v="12"/>
    <x v="12"/>
  </r>
  <r>
    <s v="Warrants"/>
    <x v="2"/>
    <x v="13"/>
    <x v="13"/>
    <x v="13"/>
    <x v="13"/>
  </r>
  <r>
    <s v="Warrants"/>
    <x v="2"/>
    <x v="150"/>
    <x v="150"/>
    <x v="150"/>
    <x v="146"/>
  </r>
  <r>
    <s v="Warrants"/>
    <x v="2"/>
    <x v="151"/>
    <x v="151"/>
    <x v="151"/>
    <x v="147"/>
  </r>
  <r>
    <s v="Warrants"/>
    <x v="2"/>
    <x v="14"/>
    <x v="14"/>
    <x v="14"/>
    <x v="14"/>
  </r>
  <r>
    <s v="Warrants"/>
    <x v="2"/>
    <x v="15"/>
    <x v="15"/>
    <x v="15"/>
    <x v="15"/>
  </r>
  <r>
    <s v="Warrants"/>
    <x v="2"/>
    <x v="16"/>
    <x v="16"/>
    <x v="16"/>
    <x v="16"/>
  </r>
  <r>
    <s v="Warrants"/>
    <x v="2"/>
    <x v="17"/>
    <x v="17"/>
    <x v="17"/>
    <x v="17"/>
  </r>
  <r>
    <s v="Warrants"/>
    <x v="2"/>
    <x v="18"/>
    <x v="18"/>
    <x v="18"/>
    <x v="18"/>
  </r>
  <r>
    <s v="Warrants"/>
    <x v="2"/>
    <x v="19"/>
    <x v="19"/>
    <x v="19"/>
    <x v="19"/>
  </r>
  <r>
    <s v="Warrants"/>
    <x v="2"/>
    <x v="21"/>
    <x v="21"/>
    <x v="21"/>
    <x v="21"/>
  </r>
  <r>
    <s v="Warrants"/>
    <x v="2"/>
    <x v="24"/>
    <x v="24"/>
    <x v="24"/>
    <x v="24"/>
  </r>
  <r>
    <s v="Warrants"/>
    <x v="2"/>
    <x v="25"/>
    <x v="25"/>
    <x v="25"/>
    <x v="25"/>
  </r>
  <r>
    <s v="Warrants"/>
    <x v="2"/>
    <x v="26"/>
    <x v="26"/>
    <x v="26"/>
    <x v="26"/>
  </r>
  <r>
    <s v="Warrants"/>
    <x v="2"/>
    <x v="27"/>
    <x v="27"/>
    <x v="27"/>
    <x v="27"/>
  </r>
  <r>
    <s v="Warrants"/>
    <x v="2"/>
    <x v="28"/>
    <x v="28"/>
    <x v="28"/>
    <x v="28"/>
  </r>
  <r>
    <s v="Warrants"/>
    <x v="2"/>
    <x v="29"/>
    <x v="29"/>
    <x v="29"/>
    <x v="29"/>
  </r>
  <r>
    <s v="Warrants"/>
    <x v="2"/>
    <x v="31"/>
    <x v="31"/>
    <x v="31"/>
    <x v="31"/>
  </r>
  <r>
    <s v="Warrants"/>
    <x v="2"/>
    <x v="32"/>
    <x v="32"/>
    <x v="32"/>
    <x v="32"/>
  </r>
  <r>
    <s v="Warrants"/>
    <x v="2"/>
    <x v="34"/>
    <x v="34"/>
    <x v="34"/>
    <x v="34"/>
  </r>
  <r>
    <s v="Warrants"/>
    <x v="2"/>
    <x v="144"/>
    <x v="144"/>
    <x v="144"/>
    <x v="140"/>
  </r>
  <r>
    <s v="Warrants"/>
    <x v="2"/>
    <x v="145"/>
    <x v="145"/>
    <x v="145"/>
    <x v="141"/>
  </r>
  <r>
    <s v="Warrants"/>
    <x v="2"/>
    <x v="41"/>
    <x v="41"/>
    <x v="41"/>
    <x v="41"/>
  </r>
  <r>
    <s v="Warrants"/>
    <x v="2"/>
    <x v="42"/>
    <x v="42"/>
    <x v="42"/>
    <x v="42"/>
  </r>
  <r>
    <s v="Warrants"/>
    <x v="2"/>
    <x v="43"/>
    <x v="43"/>
    <x v="43"/>
    <x v="43"/>
  </r>
  <r>
    <s v="Warrants"/>
    <x v="2"/>
    <x v="44"/>
    <x v="44"/>
    <x v="44"/>
    <x v="44"/>
  </r>
  <r>
    <s v="Warrants"/>
    <x v="2"/>
    <x v="45"/>
    <x v="45"/>
    <x v="45"/>
    <x v="45"/>
  </r>
  <r>
    <s v="Warrants"/>
    <x v="2"/>
    <x v="48"/>
    <x v="48"/>
    <x v="48"/>
    <x v="48"/>
  </r>
  <r>
    <s v="Warrants"/>
    <x v="2"/>
    <x v="49"/>
    <x v="49"/>
    <x v="49"/>
    <x v="49"/>
  </r>
  <r>
    <s v="Warrants"/>
    <x v="2"/>
    <x v="50"/>
    <x v="50"/>
    <x v="50"/>
    <x v="50"/>
  </r>
  <r>
    <s v="Warrants"/>
    <x v="2"/>
    <x v="51"/>
    <x v="51"/>
    <x v="51"/>
    <x v="51"/>
  </r>
  <r>
    <s v="Warrants"/>
    <x v="2"/>
    <x v="53"/>
    <x v="53"/>
    <x v="53"/>
    <x v="53"/>
  </r>
  <r>
    <s v="Warrants"/>
    <x v="2"/>
    <x v="56"/>
    <x v="56"/>
    <x v="56"/>
    <x v="56"/>
  </r>
  <r>
    <s v="Warrants"/>
    <x v="2"/>
    <x v="57"/>
    <x v="57"/>
    <x v="57"/>
    <x v="57"/>
  </r>
  <r>
    <s v="Warrants"/>
    <x v="2"/>
    <x v="152"/>
    <x v="152"/>
    <x v="152"/>
    <x v="148"/>
  </r>
  <r>
    <s v="Warrants"/>
    <x v="2"/>
    <x v="153"/>
    <x v="153"/>
    <x v="153"/>
    <x v="149"/>
  </r>
  <r>
    <s v="Warrants"/>
    <x v="2"/>
    <x v="154"/>
    <x v="154"/>
    <x v="154"/>
    <x v="150"/>
  </r>
  <r>
    <s v="Warrants"/>
    <x v="2"/>
    <x v="155"/>
    <x v="155"/>
    <x v="155"/>
    <x v="151"/>
  </r>
  <r>
    <s v="Warrants"/>
    <x v="2"/>
    <x v="156"/>
    <x v="156"/>
    <x v="156"/>
    <x v="152"/>
  </r>
  <r>
    <s v="Warrants"/>
    <x v="2"/>
    <x v="157"/>
    <x v="157"/>
    <x v="157"/>
    <x v="153"/>
  </r>
  <r>
    <s v="Warrants"/>
    <x v="2"/>
    <x v="158"/>
    <x v="158"/>
    <x v="158"/>
    <x v="154"/>
  </r>
  <r>
    <s v="Warrants"/>
    <x v="2"/>
    <x v="159"/>
    <x v="159"/>
    <x v="159"/>
    <x v="155"/>
  </r>
  <r>
    <s v="Warrants"/>
    <x v="2"/>
    <x v="160"/>
    <x v="160"/>
    <x v="160"/>
    <x v="156"/>
  </r>
  <r>
    <s v="Warrants"/>
    <x v="2"/>
    <x v="161"/>
    <x v="161"/>
    <x v="161"/>
    <x v="157"/>
  </r>
  <r>
    <s v="Warrants"/>
    <x v="2"/>
    <x v="162"/>
    <x v="162"/>
    <x v="162"/>
    <x v="158"/>
  </r>
  <r>
    <s v="ETF"/>
    <x v="3"/>
    <x v="0"/>
    <x v="0"/>
    <x v="0"/>
    <x v="0"/>
  </r>
  <r>
    <s v="ETF"/>
    <x v="3"/>
    <x v="1"/>
    <x v="1"/>
    <x v="1"/>
    <x v="1"/>
  </r>
  <r>
    <s v="ETF"/>
    <x v="3"/>
    <x v="2"/>
    <x v="2"/>
    <x v="2"/>
    <x v="2"/>
  </r>
  <r>
    <s v="ETF"/>
    <x v="3"/>
    <x v="3"/>
    <x v="3"/>
    <x v="3"/>
    <x v="3"/>
  </r>
  <r>
    <s v="ETF"/>
    <x v="3"/>
    <x v="143"/>
    <x v="143"/>
    <x v="143"/>
    <x v="139"/>
  </r>
  <r>
    <s v="ETF"/>
    <x v="3"/>
    <x v="4"/>
    <x v="4"/>
    <x v="4"/>
    <x v="4"/>
  </r>
  <r>
    <s v="ETF"/>
    <x v="3"/>
    <x v="5"/>
    <x v="5"/>
    <x v="5"/>
    <x v="5"/>
  </r>
  <r>
    <s v="ETF"/>
    <x v="3"/>
    <x v="6"/>
    <x v="6"/>
    <x v="6"/>
    <x v="6"/>
  </r>
  <r>
    <s v="ETF"/>
    <x v="3"/>
    <x v="7"/>
    <x v="7"/>
    <x v="7"/>
    <x v="7"/>
  </r>
  <r>
    <s v="ETF"/>
    <x v="3"/>
    <x v="163"/>
    <x v="163"/>
    <x v="163"/>
    <x v="159"/>
  </r>
  <r>
    <s v="ETF"/>
    <x v="3"/>
    <x v="164"/>
    <x v="164"/>
    <x v="164"/>
    <x v="160"/>
  </r>
  <r>
    <s v="ETF"/>
    <x v="3"/>
    <x v="11"/>
    <x v="11"/>
    <x v="11"/>
    <x v="11"/>
  </r>
  <r>
    <s v="ETF"/>
    <x v="3"/>
    <x v="14"/>
    <x v="14"/>
    <x v="14"/>
    <x v="14"/>
  </r>
  <r>
    <s v="ETF"/>
    <x v="3"/>
    <x v="15"/>
    <x v="15"/>
    <x v="15"/>
    <x v="15"/>
  </r>
  <r>
    <s v="ETF"/>
    <x v="3"/>
    <x v="16"/>
    <x v="16"/>
    <x v="16"/>
    <x v="16"/>
  </r>
  <r>
    <s v="ETF"/>
    <x v="3"/>
    <x v="17"/>
    <x v="17"/>
    <x v="17"/>
    <x v="17"/>
  </r>
  <r>
    <s v="ETF"/>
    <x v="3"/>
    <x v="18"/>
    <x v="18"/>
    <x v="18"/>
    <x v="18"/>
  </r>
  <r>
    <s v="ETF"/>
    <x v="3"/>
    <x v="19"/>
    <x v="19"/>
    <x v="19"/>
    <x v="19"/>
  </r>
  <r>
    <s v="ETF"/>
    <x v="3"/>
    <x v="21"/>
    <x v="21"/>
    <x v="21"/>
    <x v="21"/>
  </r>
  <r>
    <s v="ETF"/>
    <x v="3"/>
    <x v="24"/>
    <x v="24"/>
    <x v="24"/>
    <x v="24"/>
  </r>
  <r>
    <s v="ETF"/>
    <x v="3"/>
    <x v="25"/>
    <x v="25"/>
    <x v="25"/>
    <x v="25"/>
  </r>
  <r>
    <s v="ETF"/>
    <x v="3"/>
    <x v="26"/>
    <x v="26"/>
    <x v="26"/>
    <x v="26"/>
  </r>
  <r>
    <s v="ETF"/>
    <x v="3"/>
    <x v="27"/>
    <x v="27"/>
    <x v="27"/>
    <x v="27"/>
  </r>
  <r>
    <s v="ETF"/>
    <x v="3"/>
    <x v="28"/>
    <x v="28"/>
    <x v="28"/>
    <x v="28"/>
  </r>
  <r>
    <s v="ETF"/>
    <x v="3"/>
    <x v="29"/>
    <x v="29"/>
    <x v="29"/>
    <x v="29"/>
  </r>
  <r>
    <s v="ETF"/>
    <x v="3"/>
    <x v="30"/>
    <x v="30"/>
    <x v="30"/>
    <x v="30"/>
  </r>
  <r>
    <s v="ETF"/>
    <x v="3"/>
    <x v="31"/>
    <x v="31"/>
    <x v="31"/>
    <x v="31"/>
  </r>
  <r>
    <s v="ETF"/>
    <x v="3"/>
    <x v="32"/>
    <x v="32"/>
    <x v="32"/>
    <x v="32"/>
  </r>
  <r>
    <s v="ETF"/>
    <x v="3"/>
    <x v="144"/>
    <x v="144"/>
    <x v="144"/>
    <x v="140"/>
  </r>
  <r>
    <s v="ETF"/>
    <x v="3"/>
    <x v="146"/>
    <x v="146"/>
    <x v="146"/>
    <x v="142"/>
  </r>
  <r>
    <s v="ETF"/>
    <x v="3"/>
    <x v="47"/>
    <x v="47"/>
    <x v="47"/>
    <x v="47"/>
  </r>
  <r>
    <s v="ETF"/>
    <x v="3"/>
    <x v="52"/>
    <x v="52"/>
    <x v="52"/>
    <x v="52"/>
  </r>
  <r>
    <s v="ETF"/>
    <x v="3"/>
    <x v="54"/>
    <x v="54"/>
    <x v="54"/>
    <x v="54"/>
  </r>
  <r>
    <s v="ETF"/>
    <x v="3"/>
    <x v="55"/>
    <x v="55"/>
    <x v="55"/>
    <x v="55"/>
  </r>
  <r>
    <s v="ETF"/>
    <x v="3"/>
    <x v="58"/>
    <x v="58"/>
    <x v="58"/>
    <x v="58"/>
  </r>
  <r>
    <s v="ETF"/>
    <x v="3"/>
    <x v="59"/>
    <x v="59"/>
    <x v="59"/>
    <x v="59"/>
  </r>
  <r>
    <s v="ETF"/>
    <x v="3"/>
    <x v="60"/>
    <x v="60"/>
    <x v="60"/>
    <x v="60"/>
  </r>
  <r>
    <s v="ETF"/>
    <x v="3"/>
    <x v="61"/>
    <x v="61"/>
    <x v="61"/>
    <x v="61"/>
  </r>
  <r>
    <s v="ETF"/>
    <x v="3"/>
    <x v="63"/>
    <x v="63"/>
    <x v="63"/>
    <x v="63"/>
  </r>
  <r>
    <s v="ETF"/>
    <x v="3"/>
    <x v="165"/>
    <x v="165"/>
    <x v="165"/>
    <x v="161"/>
  </r>
  <r>
    <s v="FI_Bonds_CNV"/>
    <x v="4"/>
    <x v="0"/>
    <x v="0"/>
    <x v="0"/>
    <x v="0"/>
  </r>
  <r>
    <s v="FI_Bonds_CNV"/>
    <x v="4"/>
    <x v="1"/>
    <x v="1"/>
    <x v="1"/>
    <x v="1"/>
  </r>
  <r>
    <s v="FI_Bonds_CNV"/>
    <x v="4"/>
    <x v="4"/>
    <x v="4"/>
    <x v="4"/>
    <x v="4"/>
  </r>
  <r>
    <s v="FI_Bonds_CNV"/>
    <x v="4"/>
    <x v="5"/>
    <x v="5"/>
    <x v="5"/>
    <x v="5"/>
  </r>
  <r>
    <s v="FI_Bonds_CNV"/>
    <x v="4"/>
    <x v="6"/>
    <x v="6"/>
    <x v="6"/>
    <x v="6"/>
  </r>
  <r>
    <s v="FI_Bonds_CNV"/>
    <x v="4"/>
    <x v="7"/>
    <x v="7"/>
    <x v="7"/>
    <x v="7"/>
  </r>
  <r>
    <s v="FI_Bonds_CNV"/>
    <x v="4"/>
    <x v="166"/>
    <x v="166"/>
    <x v="166"/>
    <x v="162"/>
  </r>
  <r>
    <s v="FI_Bonds_CNV"/>
    <x v="4"/>
    <x v="167"/>
    <x v="167"/>
    <x v="167"/>
    <x v="163"/>
  </r>
  <r>
    <s v="FI_Bonds_CNV"/>
    <x v="4"/>
    <x v="168"/>
    <x v="168"/>
    <x v="168"/>
    <x v="164"/>
  </r>
  <r>
    <s v="FI_Bonds_CNV"/>
    <x v="4"/>
    <x v="169"/>
    <x v="169"/>
    <x v="169"/>
    <x v="165"/>
  </r>
  <r>
    <s v="FI_Bonds_CNV"/>
    <x v="4"/>
    <x v="148"/>
    <x v="148"/>
    <x v="148"/>
    <x v="144"/>
  </r>
  <r>
    <s v="FI_Bonds_CNV"/>
    <x v="4"/>
    <x v="149"/>
    <x v="149"/>
    <x v="149"/>
    <x v="145"/>
  </r>
  <r>
    <s v="FI_Bonds_CNV"/>
    <x v="4"/>
    <x v="170"/>
    <x v="170"/>
    <x v="170"/>
    <x v="166"/>
  </r>
  <r>
    <s v="FI_Bonds_CNV"/>
    <x v="4"/>
    <x v="171"/>
    <x v="171"/>
    <x v="171"/>
    <x v="167"/>
  </r>
  <r>
    <s v="FI_Bonds_CNV"/>
    <x v="4"/>
    <x v="172"/>
    <x v="172"/>
    <x v="172"/>
    <x v="168"/>
  </r>
  <r>
    <s v="FI_Bonds_CNV"/>
    <x v="4"/>
    <x v="173"/>
    <x v="173"/>
    <x v="173"/>
    <x v="169"/>
  </r>
  <r>
    <s v="FI_Bonds_CNV"/>
    <x v="4"/>
    <x v="174"/>
    <x v="174"/>
    <x v="174"/>
    <x v="170"/>
  </r>
  <r>
    <s v="FI_Bonds_CNV"/>
    <x v="4"/>
    <x v="175"/>
    <x v="175"/>
    <x v="175"/>
    <x v="171"/>
  </r>
  <r>
    <s v="FI_Bonds_CNV"/>
    <x v="4"/>
    <x v="176"/>
    <x v="176"/>
    <x v="176"/>
    <x v="172"/>
  </r>
  <r>
    <s v="FI_Bonds_CNV"/>
    <x v="4"/>
    <x v="14"/>
    <x v="14"/>
    <x v="14"/>
    <x v="14"/>
  </r>
  <r>
    <s v="FI_Bonds_CNV"/>
    <x v="4"/>
    <x v="15"/>
    <x v="15"/>
    <x v="15"/>
    <x v="15"/>
  </r>
  <r>
    <s v="FI_Bonds_CNV"/>
    <x v="4"/>
    <x v="16"/>
    <x v="16"/>
    <x v="16"/>
    <x v="16"/>
  </r>
  <r>
    <s v="FI_Bonds_CNV"/>
    <x v="4"/>
    <x v="17"/>
    <x v="17"/>
    <x v="17"/>
    <x v="17"/>
  </r>
  <r>
    <s v="FI_Bonds_CNV"/>
    <x v="4"/>
    <x v="177"/>
    <x v="177"/>
    <x v="177"/>
    <x v="173"/>
  </r>
  <r>
    <s v="FI_Bonds_CNV"/>
    <x v="4"/>
    <x v="18"/>
    <x v="18"/>
    <x v="18"/>
    <x v="18"/>
  </r>
  <r>
    <s v="FI_Bonds_CNV"/>
    <x v="4"/>
    <x v="178"/>
    <x v="178"/>
    <x v="178"/>
    <x v="174"/>
  </r>
  <r>
    <s v="FI_Bonds_CNV"/>
    <x v="4"/>
    <x v="179"/>
    <x v="179"/>
    <x v="179"/>
    <x v="175"/>
  </r>
  <r>
    <s v="FI_Bonds_CNV"/>
    <x v="4"/>
    <x v="23"/>
    <x v="23"/>
    <x v="23"/>
    <x v="23"/>
  </r>
  <r>
    <s v="FI_Bonds_CNV"/>
    <x v="4"/>
    <x v="180"/>
    <x v="180"/>
    <x v="180"/>
    <x v="176"/>
  </r>
  <r>
    <s v="FI_Bonds_CNV"/>
    <x v="4"/>
    <x v="181"/>
    <x v="181"/>
    <x v="181"/>
    <x v="177"/>
  </r>
  <r>
    <s v="FI_Bonds_CNV"/>
    <x v="4"/>
    <x v="182"/>
    <x v="182"/>
    <x v="182"/>
    <x v="178"/>
  </r>
  <r>
    <s v="FI_Bonds_CNV"/>
    <x v="4"/>
    <x v="183"/>
    <x v="183"/>
    <x v="183"/>
    <x v="179"/>
  </r>
  <r>
    <s v="FI_Bonds_CNV"/>
    <x v="4"/>
    <x v="184"/>
    <x v="184"/>
    <x v="184"/>
    <x v="180"/>
  </r>
  <r>
    <s v="FI_Bonds_CNV"/>
    <x v="4"/>
    <x v="27"/>
    <x v="27"/>
    <x v="27"/>
    <x v="27"/>
  </r>
  <r>
    <s v="FI_Bonds_CNV"/>
    <x v="4"/>
    <x v="28"/>
    <x v="28"/>
    <x v="28"/>
    <x v="28"/>
  </r>
  <r>
    <s v="FI_Bonds_CNV"/>
    <x v="4"/>
    <x v="185"/>
    <x v="185"/>
    <x v="185"/>
    <x v="181"/>
  </r>
  <r>
    <s v="FI_Bonds_CNV"/>
    <x v="4"/>
    <x v="186"/>
    <x v="186"/>
    <x v="186"/>
    <x v="182"/>
  </r>
  <r>
    <s v="FI_Bonds_CNV"/>
    <x v="4"/>
    <x v="187"/>
    <x v="187"/>
    <x v="187"/>
    <x v="183"/>
  </r>
  <r>
    <s v="FI_Bonds_CNV"/>
    <x v="4"/>
    <x v="188"/>
    <x v="188"/>
    <x v="188"/>
    <x v="184"/>
  </r>
  <r>
    <s v="FI_Bonds_CNV"/>
    <x v="4"/>
    <x v="189"/>
    <x v="189"/>
    <x v="189"/>
    <x v="185"/>
  </r>
  <r>
    <s v="FI_Bonds_CNV"/>
    <x v="4"/>
    <x v="190"/>
    <x v="190"/>
    <x v="190"/>
    <x v="186"/>
  </r>
  <r>
    <s v="FI_Bonds_CNV"/>
    <x v="4"/>
    <x v="191"/>
    <x v="191"/>
    <x v="191"/>
    <x v="187"/>
  </r>
  <r>
    <s v="FI_Bonds_CNV"/>
    <x v="4"/>
    <x v="192"/>
    <x v="192"/>
    <x v="192"/>
    <x v="188"/>
  </r>
  <r>
    <s v="FI_Bonds_CNV"/>
    <x v="4"/>
    <x v="193"/>
    <x v="193"/>
    <x v="193"/>
    <x v="189"/>
  </r>
  <r>
    <s v="FI_Bonds_CNV"/>
    <x v="4"/>
    <x v="194"/>
    <x v="194"/>
    <x v="194"/>
    <x v="190"/>
  </r>
  <r>
    <s v="FI_Bonds_CNV"/>
    <x v="4"/>
    <x v="195"/>
    <x v="195"/>
    <x v="195"/>
    <x v="191"/>
  </r>
  <r>
    <s v="FI_Bonds_CNV"/>
    <x v="4"/>
    <x v="196"/>
    <x v="196"/>
    <x v="196"/>
    <x v="192"/>
  </r>
  <r>
    <s v="FI_Bonds_CNV"/>
    <x v="4"/>
    <x v="197"/>
    <x v="197"/>
    <x v="197"/>
    <x v="193"/>
  </r>
  <r>
    <s v="FI_Bonds_CNV"/>
    <x v="4"/>
    <x v="198"/>
    <x v="198"/>
    <x v="198"/>
    <x v="194"/>
  </r>
  <r>
    <s v="FI_Bonds_CNV"/>
    <x v="4"/>
    <x v="199"/>
    <x v="199"/>
    <x v="199"/>
    <x v="195"/>
  </r>
  <r>
    <s v="FI_Bonds_CNV"/>
    <x v="4"/>
    <x v="200"/>
    <x v="200"/>
    <x v="200"/>
    <x v="196"/>
  </r>
  <r>
    <s v="FI_Bonds_CNV"/>
    <x v="4"/>
    <x v="201"/>
    <x v="201"/>
    <x v="201"/>
    <x v="197"/>
  </r>
  <r>
    <s v="FI_Bonds_CNV"/>
    <x v="4"/>
    <x v="202"/>
    <x v="202"/>
    <x v="202"/>
    <x v="198"/>
  </r>
  <r>
    <s v="FI_Bonds_CNV"/>
    <x v="4"/>
    <x v="203"/>
    <x v="203"/>
    <x v="203"/>
    <x v="199"/>
  </r>
  <r>
    <s v="FI_Bonds_CNV"/>
    <x v="4"/>
    <x v="204"/>
    <x v="204"/>
    <x v="204"/>
    <x v="200"/>
  </r>
  <r>
    <s v="FI_Bonds_FRN"/>
    <x v="5"/>
    <x v="4"/>
    <x v="4"/>
    <x v="4"/>
    <x v="4"/>
  </r>
  <r>
    <s v="FI_Bonds_FRN"/>
    <x v="5"/>
    <x v="5"/>
    <x v="5"/>
    <x v="5"/>
    <x v="5"/>
  </r>
  <r>
    <s v="FI_Bonds_FRN"/>
    <x v="5"/>
    <x v="6"/>
    <x v="6"/>
    <x v="6"/>
    <x v="6"/>
  </r>
  <r>
    <s v="FI_Bonds_FRN"/>
    <x v="5"/>
    <x v="166"/>
    <x v="166"/>
    <x v="166"/>
    <x v="162"/>
  </r>
  <r>
    <s v="FI_Bonds_FRN"/>
    <x v="5"/>
    <x v="205"/>
    <x v="205"/>
    <x v="205"/>
    <x v="201"/>
  </r>
  <r>
    <s v="FI_Bonds_FRN"/>
    <x v="5"/>
    <x v="206"/>
    <x v="206"/>
    <x v="206"/>
    <x v="202"/>
  </r>
  <r>
    <s v="FI_Bonds_FRN"/>
    <x v="5"/>
    <x v="167"/>
    <x v="167"/>
    <x v="167"/>
    <x v="163"/>
  </r>
  <r>
    <s v="FI_Bonds_FRN"/>
    <x v="5"/>
    <x v="168"/>
    <x v="168"/>
    <x v="168"/>
    <x v="164"/>
  </r>
  <r>
    <s v="FI_Bonds_FRN"/>
    <x v="5"/>
    <x v="169"/>
    <x v="169"/>
    <x v="169"/>
    <x v="165"/>
  </r>
  <r>
    <s v="FI_Bonds_FRN"/>
    <x v="5"/>
    <x v="207"/>
    <x v="207"/>
    <x v="207"/>
    <x v="203"/>
  </r>
  <r>
    <s v="FI_Bonds_FRN"/>
    <x v="5"/>
    <x v="208"/>
    <x v="208"/>
    <x v="208"/>
    <x v="204"/>
  </r>
  <r>
    <s v="FI_Bonds_FRN"/>
    <x v="5"/>
    <x v="209"/>
    <x v="209"/>
    <x v="209"/>
    <x v="204"/>
  </r>
  <r>
    <s v="FI_Bonds_FRN"/>
    <x v="5"/>
    <x v="170"/>
    <x v="170"/>
    <x v="170"/>
    <x v="166"/>
  </r>
  <r>
    <s v="FI_Bonds_FRN"/>
    <x v="5"/>
    <x v="171"/>
    <x v="171"/>
    <x v="171"/>
    <x v="167"/>
  </r>
  <r>
    <s v="FI_Bonds_FRN"/>
    <x v="5"/>
    <x v="210"/>
    <x v="210"/>
    <x v="210"/>
    <x v="205"/>
  </r>
  <r>
    <s v="FI_Bonds_FRN"/>
    <x v="5"/>
    <x v="211"/>
    <x v="211"/>
    <x v="211"/>
    <x v="206"/>
  </r>
  <r>
    <s v="FI_Bonds_FRN"/>
    <x v="5"/>
    <x v="212"/>
    <x v="212"/>
    <x v="212"/>
    <x v="207"/>
  </r>
  <r>
    <s v="FI_Bonds_FRN"/>
    <x v="5"/>
    <x v="213"/>
    <x v="213"/>
    <x v="213"/>
    <x v="208"/>
  </r>
  <r>
    <s v="FI_Bonds_FRN"/>
    <x v="5"/>
    <x v="14"/>
    <x v="14"/>
    <x v="14"/>
    <x v="14"/>
  </r>
  <r>
    <s v="FI_Bonds_FRN"/>
    <x v="5"/>
    <x v="15"/>
    <x v="15"/>
    <x v="15"/>
    <x v="15"/>
  </r>
  <r>
    <s v="FI_Bonds_FRN"/>
    <x v="5"/>
    <x v="16"/>
    <x v="16"/>
    <x v="16"/>
    <x v="16"/>
  </r>
  <r>
    <s v="FI_Bonds_FRN"/>
    <x v="5"/>
    <x v="177"/>
    <x v="177"/>
    <x v="177"/>
    <x v="173"/>
  </r>
  <r>
    <s v="FI_Bonds_FRN"/>
    <x v="5"/>
    <x v="178"/>
    <x v="178"/>
    <x v="178"/>
    <x v="174"/>
  </r>
  <r>
    <s v="FI_Bonds_FRN"/>
    <x v="5"/>
    <x v="179"/>
    <x v="179"/>
    <x v="179"/>
    <x v="175"/>
  </r>
  <r>
    <s v="FI_Bonds_FRN"/>
    <x v="5"/>
    <x v="180"/>
    <x v="180"/>
    <x v="180"/>
    <x v="176"/>
  </r>
  <r>
    <s v="FI_Bonds_FRN"/>
    <x v="5"/>
    <x v="181"/>
    <x v="181"/>
    <x v="181"/>
    <x v="177"/>
  </r>
  <r>
    <s v="FI_Bonds_FRN"/>
    <x v="5"/>
    <x v="182"/>
    <x v="182"/>
    <x v="182"/>
    <x v="178"/>
  </r>
  <r>
    <s v="FI_Bonds_FRN"/>
    <x v="5"/>
    <x v="183"/>
    <x v="183"/>
    <x v="183"/>
    <x v="179"/>
  </r>
  <r>
    <s v="FI_Bonds_FRN"/>
    <x v="5"/>
    <x v="184"/>
    <x v="184"/>
    <x v="184"/>
    <x v="180"/>
  </r>
  <r>
    <s v="FI_Bonds_FRN"/>
    <x v="5"/>
    <x v="185"/>
    <x v="185"/>
    <x v="185"/>
    <x v="181"/>
  </r>
  <r>
    <s v="FI_Bonds_FRN"/>
    <x v="5"/>
    <x v="186"/>
    <x v="186"/>
    <x v="186"/>
    <x v="182"/>
  </r>
  <r>
    <s v="FI_Bonds_FRN"/>
    <x v="5"/>
    <x v="187"/>
    <x v="187"/>
    <x v="187"/>
    <x v="183"/>
  </r>
  <r>
    <s v="FI_Bonds_FRN"/>
    <x v="5"/>
    <x v="188"/>
    <x v="188"/>
    <x v="188"/>
    <x v="184"/>
  </r>
  <r>
    <s v="FI_Bonds_FRN"/>
    <x v="5"/>
    <x v="189"/>
    <x v="189"/>
    <x v="189"/>
    <x v="185"/>
  </r>
  <r>
    <s v="FI_Bonds_FRN"/>
    <x v="5"/>
    <x v="190"/>
    <x v="190"/>
    <x v="190"/>
    <x v="186"/>
  </r>
  <r>
    <s v="FI_Bonds_FRN"/>
    <x v="5"/>
    <x v="191"/>
    <x v="191"/>
    <x v="191"/>
    <x v="187"/>
  </r>
  <r>
    <s v="FI_Bonds_FRN"/>
    <x v="5"/>
    <x v="192"/>
    <x v="192"/>
    <x v="192"/>
    <x v="188"/>
  </r>
  <r>
    <s v="FI_Bonds_FRN"/>
    <x v="5"/>
    <x v="193"/>
    <x v="193"/>
    <x v="193"/>
    <x v="189"/>
  </r>
  <r>
    <s v="FI_Bonds_FRN"/>
    <x v="5"/>
    <x v="214"/>
    <x v="214"/>
    <x v="214"/>
    <x v="209"/>
  </r>
  <r>
    <s v="FI_Bonds_FRN"/>
    <x v="5"/>
    <x v="215"/>
    <x v="215"/>
    <x v="215"/>
    <x v="210"/>
  </r>
  <r>
    <s v="FI_Bonds_FRN"/>
    <x v="5"/>
    <x v="216"/>
    <x v="216"/>
    <x v="216"/>
    <x v="211"/>
  </r>
  <r>
    <s v="FI_Bonds_FRN"/>
    <x v="5"/>
    <x v="217"/>
    <x v="217"/>
    <x v="217"/>
    <x v="212"/>
  </r>
  <r>
    <s v="FI_Bonds_FRN"/>
    <x v="5"/>
    <x v="218"/>
    <x v="218"/>
    <x v="218"/>
    <x v="213"/>
  </r>
  <r>
    <s v="FI_Bonds_FRN"/>
    <x v="5"/>
    <x v="219"/>
    <x v="219"/>
    <x v="219"/>
    <x v="214"/>
  </r>
  <r>
    <s v="FI_Bonds_FRN"/>
    <x v="5"/>
    <x v="194"/>
    <x v="194"/>
    <x v="194"/>
    <x v="190"/>
  </r>
  <r>
    <s v="FI_Bonds_FRN"/>
    <x v="5"/>
    <x v="195"/>
    <x v="195"/>
    <x v="195"/>
    <x v="191"/>
  </r>
  <r>
    <s v="FI_Bonds_FRN"/>
    <x v="5"/>
    <x v="196"/>
    <x v="196"/>
    <x v="196"/>
    <x v="192"/>
  </r>
  <r>
    <s v="FI_Bonds_FRN"/>
    <x v="5"/>
    <x v="197"/>
    <x v="197"/>
    <x v="197"/>
    <x v="193"/>
  </r>
  <r>
    <s v="FI_Bonds_FRN"/>
    <x v="5"/>
    <x v="198"/>
    <x v="198"/>
    <x v="198"/>
    <x v="194"/>
  </r>
  <r>
    <s v="FI_Bonds_FRN"/>
    <x v="5"/>
    <x v="199"/>
    <x v="199"/>
    <x v="199"/>
    <x v="195"/>
  </r>
  <r>
    <s v="FI_Bonds_FRN"/>
    <x v="5"/>
    <x v="220"/>
    <x v="220"/>
    <x v="220"/>
    <x v="215"/>
  </r>
  <r>
    <s v="FI_Bonds_FRN"/>
    <x v="5"/>
    <x v="221"/>
    <x v="221"/>
    <x v="221"/>
    <x v="216"/>
  </r>
  <r>
    <s v="FI_Bonds_FRN"/>
    <x v="5"/>
    <x v="222"/>
    <x v="222"/>
    <x v="222"/>
    <x v="217"/>
  </r>
  <r>
    <s v="FI_Bonds_FRN"/>
    <x v="5"/>
    <x v="223"/>
    <x v="223"/>
    <x v="223"/>
    <x v="218"/>
  </r>
  <r>
    <s v="FI_Bonds_FRN"/>
    <x v="5"/>
    <x v="224"/>
    <x v="224"/>
    <x v="224"/>
    <x v="219"/>
  </r>
  <r>
    <s v="FI_Bonds_FRN"/>
    <x v="5"/>
    <x v="225"/>
    <x v="225"/>
    <x v="225"/>
    <x v="220"/>
  </r>
  <r>
    <s v="FI_Bonds_FRN"/>
    <x v="5"/>
    <x v="226"/>
    <x v="226"/>
    <x v="226"/>
    <x v="221"/>
  </r>
  <r>
    <s v="FI_Bonds_FRN"/>
    <x v="5"/>
    <x v="227"/>
    <x v="227"/>
    <x v="227"/>
    <x v="222"/>
  </r>
  <r>
    <s v="FI_Bonds_FRN"/>
    <x v="5"/>
    <x v="228"/>
    <x v="228"/>
    <x v="228"/>
    <x v="223"/>
  </r>
  <r>
    <s v="FI_Bonds_FRN"/>
    <x v="5"/>
    <x v="229"/>
    <x v="229"/>
    <x v="229"/>
    <x v="224"/>
  </r>
  <r>
    <s v="FI_Bonds_FRN"/>
    <x v="5"/>
    <x v="230"/>
    <x v="230"/>
    <x v="230"/>
    <x v="225"/>
  </r>
  <r>
    <s v="FI_Bonds_FRN"/>
    <x v="5"/>
    <x v="231"/>
    <x v="231"/>
    <x v="231"/>
    <x v="226"/>
  </r>
  <r>
    <s v="FI_Bonds_FRN"/>
    <x v="5"/>
    <x v="232"/>
    <x v="232"/>
    <x v="232"/>
    <x v="227"/>
  </r>
  <r>
    <s v="FI_Bonds_FRN"/>
    <x v="5"/>
    <x v="233"/>
    <x v="233"/>
    <x v="233"/>
    <x v="228"/>
  </r>
  <r>
    <s v="FI_Bonds_FRN"/>
    <x v="5"/>
    <x v="234"/>
    <x v="234"/>
    <x v="234"/>
    <x v="229"/>
  </r>
  <r>
    <s v="FI_Bonds_FRN"/>
    <x v="5"/>
    <x v="235"/>
    <x v="235"/>
    <x v="235"/>
    <x v="230"/>
  </r>
  <r>
    <s v="FI_Bonds_FRN"/>
    <x v="5"/>
    <x v="236"/>
    <x v="236"/>
    <x v="236"/>
    <x v="231"/>
  </r>
  <r>
    <s v="FI_Bonds_FRN"/>
    <x v="5"/>
    <x v="237"/>
    <x v="237"/>
    <x v="237"/>
    <x v="232"/>
  </r>
  <r>
    <s v="FI_Bonds_FRN"/>
    <x v="5"/>
    <x v="238"/>
    <x v="238"/>
    <x v="238"/>
    <x v="233"/>
  </r>
  <r>
    <s v="FI_Bonds_FRN"/>
    <x v="5"/>
    <x v="239"/>
    <x v="239"/>
    <x v="239"/>
    <x v="234"/>
  </r>
  <r>
    <s v="FI_Bonds_FRN"/>
    <x v="5"/>
    <x v="240"/>
    <x v="240"/>
    <x v="240"/>
    <x v="235"/>
  </r>
  <r>
    <s v="FI_Bonds_IDX"/>
    <x v="6"/>
    <x v="241"/>
    <x v="241"/>
    <x v="241"/>
    <x v="236"/>
  </r>
  <r>
    <s v="FI_Bonds_IDX"/>
    <x v="6"/>
    <x v="242"/>
    <x v="242"/>
    <x v="242"/>
    <x v="237"/>
  </r>
  <r>
    <s v="FI_Bonds_IDX"/>
    <x v="6"/>
    <x v="243"/>
    <x v="243"/>
    <x v="243"/>
    <x v="238"/>
  </r>
  <r>
    <s v="FI_Bonds_IDX"/>
    <x v="6"/>
    <x v="4"/>
    <x v="4"/>
    <x v="4"/>
    <x v="4"/>
  </r>
  <r>
    <s v="FI_Bonds_IDX"/>
    <x v="6"/>
    <x v="5"/>
    <x v="5"/>
    <x v="5"/>
    <x v="5"/>
  </r>
  <r>
    <s v="FI_Bonds_IDX"/>
    <x v="6"/>
    <x v="6"/>
    <x v="6"/>
    <x v="6"/>
    <x v="6"/>
  </r>
  <r>
    <s v="FI_Bonds_IDX"/>
    <x v="6"/>
    <x v="166"/>
    <x v="166"/>
    <x v="166"/>
    <x v="162"/>
  </r>
  <r>
    <s v="FI_Bonds_IDX"/>
    <x v="6"/>
    <x v="205"/>
    <x v="205"/>
    <x v="205"/>
    <x v="201"/>
  </r>
  <r>
    <s v="FI_Bonds_IDX"/>
    <x v="6"/>
    <x v="206"/>
    <x v="206"/>
    <x v="206"/>
    <x v="202"/>
  </r>
  <r>
    <s v="FI_Bonds_IDX"/>
    <x v="6"/>
    <x v="167"/>
    <x v="167"/>
    <x v="167"/>
    <x v="163"/>
  </r>
  <r>
    <s v="FI_Bonds_IDX"/>
    <x v="6"/>
    <x v="168"/>
    <x v="168"/>
    <x v="168"/>
    <x v="164"/>
  </r>
  <r>
    <s v="FI_Bonds_IDX"/>
    <x v="6"/>
    <x v="169"/>
    <x v="169"/>
    <x v="169"/>
    <x v="165"/>
  </r>
  <r>
    <s v="FI_Bonds_IDX"/>
    <x v="6"/>
    <x v="207"/>
    <x v="207"/>
    <x v="207"/>
    <x v="203"/>
  </r>
  <r>
    <s v="FI_Bonds_IDX"/>
    <x v="6"/>
    <x v="244"/>
    <x v="244"/>
    <x v="244"/>
    <x v="239"/>
  </r>
  <r>
    <s v="FI_Bonds_IDX"/>
    <x v="6"/>
    <x v="245"/>
    <x v="245"/>
    <x v="245"/>
    <x v="240"/>
  </r>
  <r>
    <s v="FI_Bonds_IDX"/>
    <x v="6"/>
    <x v="246"/>
    <x v="246"/>
    <x v="246"/>
    <x v="241"/>
  </r>
  <r>
    <s v="FI_Bonds_IDX"/>
    <x v="6"/>
    <x v="247"/>
    <x v="247"/>
    <x v="247"/>
    <x v="242"/>
  </r>
  <r>
    <s v="FI_Bonds_IDX"/>
    <x v="6"/>
    <x v="248"/>
    <x v="248"/>
    <x v="248"/>
    <x v="243"/>
  </r>
  <r>
    <s v="FI_Bonds_IDX"/>
    <x v="6"/>
    <x v="249"/>
    <x v="249"/>
    <x v="249"/>
    <x v="244"/>
  </r>
  <r>
    <s v="FI_Bonds_IDX"/>
    <x v="6"/>
    <x v="250"/>
    <x v="250"/>
    <x v="250"/>
    <x v="245"/>
  </r>
  <r>
    <s v="FI_Bonds_IDX"/>
    <x v="6"/>
    <x v="14"/>
    <x v="14"/>
    <x v="14"/>
    <x v="14"/>
  </r>
  <r>
    <s v="FI_Bonds_IDX"/>
    <x v="6"/>
    <x v="15"/>
    <x v="15"/>
    <x v="15"/>
    <x v="15"/>
  </r>
  <r>
    <s v="FI_Bonds_IDX"/>
    <x v="6"/>
    <x v="16"/>
    <x v="16"/>
    <x v="16"/>
    <x v="16"/>
  </r>
  <r>
    <s v="FI_Bonds_IDX"/>
    <x v="6"/>
    <x v="177"/>
    <x v="177"/>
    <x v="177"/>
    <x v="173"/>
  </r>
  <r>
    <s v="FI_Bonds_IDX"/>
    <x v="6"/>
    <x v="178"/>
    <x v="178"/>
    <x v="178"/>
    <x v="174"/>
  </r>
  <r>
    <s v="FI_Bonds_IDX"/>
    <x v="6"/>
    <x v="179"/>
    <x v="179"/>
    <x v="179"/>
    <x v="175"/>
  </r>
  <r>
    <s v="FI_Bonds_IDX"/>
    <x v="6"/>
    <x v="180"/>
    <x v="180"/>
    <x v="180"/>
    <x v="176"/>
  </r>
  <r>
    <s v="FI_Bonds_IDX"/>
    <x v="6"/>
    <x v="181"/>
    <x v="181"/>
    <x v="181"/>
    <x v="177"/>
  </r>
  <r>
    <s v="FI_Bonds_IDX"/>
    <x v="6"/>
    <x v="182"/>
    <x v="182"/>
    <x v="182"/>
    <x v="178"/>
  </r>
  <r>
    <s v="FI_Bonds_IDX"/>
    <x v="6"/>
    <x v="183"/>
    <x v="183"/>
    <x v="183"/>
    <x v="179"/>
  </r>
  <r>
    <s v="FI_Bonds_IDX"/>
    <x v="6"/>
    <x v="184"/>
    <x v="184"/>
    <x v="184"/>
    <x v="180"/>
  </r>
  <r>
    <s v="FI_Bonds_IDX"/>
    <x v="6"/>
    <x v="185"/>
    <x v="185"/>
    <x v="185"/>
    <x v="181"/>
  </r>
  <r>
    <s v="FI_Bonds_IDX"/>
    <x v="6"/>
    <x v="186"/>
    <x v="186"/>
    <x v="186"/>
    <x v="182"/>
  </r>
  <r>
    <s v="FI_Bonds_IDX"/>
    <x v="6"/>
    <x v="187"/>
    <x v="187"/>
    <x v="187"/>
    <x v="183"/>
  </r>
  <r>
    <s v="FI_Bonds_IDX"/>
    <x v="6"/>
    <x v="188"/>
    <x v="188"/>
    <x v="188"/>
    <x v="184"/>
  </r>
  <r>
    <s v="FI_Bonds_IDX"/>
    <x v="6"/>
    <x v="189"/>
    <x v="189"/>
    <x v="189"/>
    <x v="185"/>
  </r>
  <r>
    <s v="FI_Bonds_IDX"/>
    <x v="6"/>
    <x v="190"/>
    <x v="190"/>
    <x v="190"/>
    <x v="186"/>
  </r>
  <r>
    <s v="FI_Bonds_IDX"/>
    <x v="6"/>
    <x v="191"/>
    <x v="191"/>
    <x v="191"/>
    <x v="187"/>
  </r>
  <r>
    <s v="FI_Bonds_IDX"/>
    <x v="6"/>
    <x v="192"/>
    <x v="192"/>
    <x v="192"/>
    <x v="188"/>
  </r>
  <r>
    <s v="FI_Bonds_IDX"/>
    <x v="6"/>
    <x v="193"/>
    <x v="193"/>
    <x v="193"/>
    <x v="189"/>
  </r>
  <r>
    <s v="FI_Bonds_IDX"/>
    <x v="6"/>
    <x v="214"/>
    <x v="214"/>
    <x v="214"/>
    <x v="209"/>
  </r>
  <r>
    <s v="FI_Bonds_IDX"/>
    <x v="6"/>
    <x v="215"/>
    <x v="215"/>
    <x v="215"/>
    <x v="210"/>
  </r>
  <r>
    <s v="FI_Bonds_IDX"/>
    <x v="6"/>
    <x v="217"/>
    <x v="217"/>
    <x v="217"/>
    <x v="212"/>
  </r>
  <r>
    <s v="FI_Bonds_IDX"/>
    <x v="6"/>
    <x v="194"/>
    <x v="194"/>
    <x v="194"/>
    <x v="190"/>
  </r>
  <r>
    <s v="FI_Bonds_IDX"/>
    <x v="6"/>
    <x v="195"/>
    <x v="195"/>
    <x v="195"/>
    <x v="191"/>
  </r>
  <r>
    <s v="FI_Bonds_IDX"/>
    <x v="6"/>
    <x v="196"/>
    <x v="196"/>
    <x v="196"/>
    <x v="192"/>
  </r>
  <r>
    <s v="FI_Bonds_IDX"/>
    <x v="6"/>
    <x v="197"/>
    <x v="197"/>
    <x v="197"/>
    <x v="193"/>
  </r>
  <r>
    <s v="FI_Bonds_IDX"/>
    <x v="6"/>
    <x v="198"/>
    <x v="198"/>
    <x v="198"/>
    <x v="194"/>
  </r>
  <r>
    <s v="FI_Bonds_IDX"/>
    <x v="6"/>
    <x v="199"/>
    <x v="199"/>
    <x v="199"/>
    <x v="195"/>
  </r>
  <r>
    <s v="FI_Bonds_IDX"/>
    <x v="6"/>
    <x v="251"/>
    <x v="251"/>
    <x v="251"/>
    <x v="246"/>
  </r>
  <r>
    <s v="FI_Bonds_IDX"/>
    <x v="6"/>
    <x v="252"/>
    <x v="252"/>
    <x v="252"/>
    <x v="247"/>
  </r>
  <r>
    <s v="FI_Bonds_IDX"/>
    <x v="6"/>
    <x v="253"/>
    <x v="253"/>
    <x v="253"/>
    <x v="248"/>
  </r>
  <r>
    <s v="FI_Bonds_IDX"/>
    <x v="6"/>
    <x v="254"/>
    <x v="254"/>
    <x v="254"/>
    <x v="249"/>
  </r>
  <r>
    <s v="FI_Bonds_IDX"/>
    <x v="6"/>
    <x v="255"/>
    <x v="255"/>
    <x v="255"/>
    <x v="250"/>
  </r>
  <r>
    <s v="FI_Bonds_IDX"/>
    <x v="6"/>
    <x v="256"/>
    <x v="256"/>
    <x v="256"/>
    <x v="251"/>
  </r>
  <r>
    <s v="FI_Bonds_IDX"/>
    <x v="6"/>
    <x v="257"/>
    <x v="257"/>
    <x v="257"/>
    <x v="252"/>
  </r>
  <r>
    <s v="FI_Bonds_IDX"/>
    <x v="6"/>
    <x v="258"/>
    <x v="258"/>
    <x v="258"/>
    <x v="253"/>
  </r>
  <r>
    <s v="FI_Bonds_IDX"/>
    <x v="6"/>
    <x v="259"/>
    <x v="259"/>
    <x v="259"/>
    <x v="254"/>
  </r>
  <r>
    <s v="FI_Bonds_IDX"/>
    <x v="6"/>
    <x v="260"/>
    <x v="260"/>
    <x v="260"/>
    <x v="255"/>
  </r>
  <r>
    <s v="FI_Bonds_IDX"/>
    <x v="6"/>
    <x v="261"/>
    <x v="261"/>
    <x v="261"/>
    <x v="256"/>
  </r>
  <r>
    <s v="FI_Bonds_IDX"/>
    <x v="6"/>
    <x v="262"/>
    <x v="262"/>
    <x v="262"/>
    <x v="257"/>
  </r>
  <r>
    <s v="FI_Bonds_IDX"/>
    <x v="6"/>
    <x v="263"/>
    <x v="263"/>
    <x v="263"/>
    <x v="258"/>
  </r>
  <r>
    <s v="FI_Bonds_STR"/>
    <x v="7"/>
    <x v="0"/>
    <x v="0"/>
    <x v="0"/>
    <x v="0"/>
  </r>
  <r>
    <s v="FI_Bonds_STR"/>
    <x v="7"/>
    <x v="1"/>
    <x v="1"/>
    <x v="1"/>
    <x v="1"/>
  </r>
  <r>
    <s v="FI_Bonds_STR"/>
    <x v="7"/>
    <x v="2"/>
    <x v="2"/>
    <x v="2"/>
    <x v="2"/>
  </r>
  <r>
    <s v="FI_Bonds_STR"/>
    <x v="7"/>
    <x v="142"/>
    <x v="142"/>
    <x v="142"/>
    <x v="138"/>
  </r>
  <r>
    <s v="FI_Bonds_STR"/>
    <x v="7"/>
    <x v="241"/>
    <x v="241"/>
    <x v="241"/>
    <x v="236"/>
  </r>
  <r>
    <s v="FI_Bonds_STR"/>
    <x v="7"/>
    <x v="242"/>
    <x v="242"/>
    <x v="242"/>
    <x v="237"/>
  </r>
  <r>
    <s v="FI_Bonds_STR"/>
    <x v="7"/>
    <x v="243"/>
    <x v="243"/>
    <x v="243"/>
    <x v="238"/>
  </r>
  <r>
    <s v="FI_Bonds_STR"/>
    <x v="7"/>
    <x v="4"/>
    <x v="4"/>
    <x v="4"/>
    <x v="4"/>
  </r>
  <r>
    <s v="FI_Bonds_STR"/>
    <x v="7"/>
    <x v="5"/>
    <x v="5"/>
    <x v="5"/>
    <x v="5"/>
  </r>
  <r>
    <s v="FI_Bonds_STR"/>
    <x v="7"/>
    <x v="6"/>
    <x v="6"/>
    <x v="6"/>
    <x v="6"/>
  </r>
  <r>
    <s v="FI_Bonds_STR"/>
    <x v="7"/>
    <x v="7"/>
    <x v="7"/>
    <x v="7"/>
    <x v="7"/>
  </r>
  <r>
    <s v="FI_Bonds_STR"/>
    <x v="7"/>
    <x v="166"/>
    <x v="166"/>
    <x v="166"/>
    <x v="162"/>
  </r>
  <r>
    <s v="FI_Bonds_STR"/>
    <x v="7"/>
    <x v="205"/>
    <x v="205"/>
    <x v="205"/>
    <x v="201"/>
  </r>
  <r>
    <s v="FI_Bonds_STR"/>
    <x v="7"/>
    <x v="206"/>
    <x v="206"/>
    <x v="206"/>
    <x v="202"/>
  </r>
  <r>
    <s v="FI_Bonds_STR"/>
    <x v="7"/>
    <x v="167"/>
    <x v="167"/>
    <x v="167"/>
    <x v="163"/>
  </r>
  <r>
    <s v="FI_Bonds_STR"/>
    <x v="7"/>
    <x v="168"/>
    <x v="168"/>
    <x v="168"/>
    <x v="164"/>
  </r>
  <r>
    <s v="FI_Bonds_STR"/>
    <x v="7"/>
    <x v="169"/>
    <x v="169"/>
    <x v="169"/>
    <x v="165"/>
  </r>
  <r>
    <s v="FI_Bonds_STR"/>
    <x v="7"/>
    <x v="163"/>
    <x v="163"/>
    <x v="163"/>
    <x v="159"/>
  </r>
  <r>
    <s v="FI_Bonds_STR"/>
    <x v="7"/>
    <x v="164"/>
    <x v="164"/>
    <x v="164"/>
    <x v="160"/>
  </r>
  <r>
    <s v="FI_Bonds_STR"/>
    <x v="7"/>
    <x v="207"/>
    <x v="207"/>
    <x v="207"/>
    <x v="203"/>
  </r>
  <r>
    <s v="FI_Bonds_STR"/>
    <x v="7"/>
    <x v="244"/>
    <x v="244"/>
    <x v="244"/>
    <x v="239"/>
  </r>
  <r>
    <s v="FI_Bonds_STR"/>
    <x v="7"/>
    <x v="264"/>
    <x v="264"/>
    <x v="264"/>
    <x v="259"/>
  </r>
  <r>
    <s v="FI_Bonds_STR"/>
    <x v="7"/>
    <x v="265"/>
    <x v="265"/>
    <x v="265"/>
    <x v="260"/>
  </r>
  <r>
    <s v="FI_Bonds_STR"/>
    <x v="7"/>
    <x v="245"/>
    <x v="245"/>
    <x v="245"/>
    <x v="240"/>
  </r>
  <r>
    <s v="FI_Bonds_STR"/>
    <x v="7"/>
    <x v="266"/>
    <x v="266"/>
    <x v="266"/>
    <x v="261"/>
  </r>
  <r>
    <s v="FI_Bonds_STR"/>
    <x v="7"/>
    <x v="267"/>
    <x v="267"/>
    <x v="267"/>
    <x v="262"/>
  </r>
  <r>
    <s v="FI_Bonds_STR"/>
    <x v="7"/>
    <x v="208"/>
    <x v="208"/>
    <x v="208"/>
    <x v="204"/>
  </r>
  <r>
    <s v="FI_Bonds_STR"/>
    <x v="7"/>
    <x v="209"/>
    <x v="209"/>
    <x v="209"/>
    <x v="204"/>
  </r>
  <r>
    <s v="FI_Bonds_STR"/>
    <x v="7"/>
    <x v="170"/>
    <x v="170"/>
    <x v="170"/>
    <x v="166"/>
  </r>
  <r>
    <s v="FI_Bonds_STR"/>
    <x v="7"/>
    <x v="171"/>
    <x v="171"/>
    <x v="171"/>
    <x v="167"/>
  </r>
  <r>
    <s v="FI_Bonds_STR"/>
    <x v="7"/>
    <x v="268"/>
    <x v="268"/>
    <x v="268"/>
    <x v="263"/>
  </r>
  <r>
    <s v="FI_Bonds_STR"/>
    <x v="7"/>
    <x v="269"/>
    <x v="269"/>
    <x v="269"/>
    <x v="264"/>
  </r>
  <r>
    <s v="FI_Bonds_STR"/>
    <x v="7"/>
    <x v="270"/>
    <x v="270"/>
    <x v="270"/>
    <x v="265"/>
  </r>
  <r>
    <s v="FI_Bonds_STR"/>
    <x v="7"/>
    <x v="172"/>
    <x v="172"/>
    <x v="172"/>
    <x v="168"/>
  </r>
  <r>
    <s v="FI_Bonds_STR"/>
    <x v="7"/>
    <x v="246"/>
    <x v="246"/>
    <x v="246"/>
    <x v="241"/>
  </r>
  <r>
    <s v="FI_Bonds_STR"/>
    <x v="7"/>
    <x v="210"/>
    <x v="210"/>
    <x v="210"/>
    <x v="205"/>
  </r>
  <r>
    <s v="FI_Bonds_STR"/>
    <x v="7"/>
    <x v="211"/>
    <x v="211"/>
    <x v="211"/>
    <x v="206"/>
  </r>
  <r>
    <s v="FI_Bonds_STR"/>
    <x v="7"/>
    <x v="247"/>
    <x v="247"/>
    <x v="247"/>
    <x v="242"/>
  </r>
  <r>
    <s v="FI_Bonds_STR"/>
    <x v="7"/>
    <x v="248"/>
    <x v="248"/>
    <x v="248"/>
    <x v="243"/>
  </r>
  <r>
    <s v="FI_Bonds_STR"/>
    <x v="7"/>
    <x v="271"/>
    <x v="271"/>
    <x v="271"/>
    <x v="266"/>
  </r>
  <r>
    <s v="FI_Bonds_STR"/>
    <x v="7"/>
    <x v="14"/>
    <x v="14"/>
    <x v="14"/>
    <x v="14"/>
  </r>
  <r>
    <s v="FI_Bonds_STR"/>
    <x v="7"/>
    <x v="15"/>
    <x v="15"/>
    <x v="15"/>
    <x v="15"/>
  </r>
  <r>
    <s v="FI_Bonds_STR"/>
    <x v="7"/>
    <x v="16"/>
    <x v="16"/>
    <x v="16"/>
    <x v="16"/>
  </r>
  <r>
    <s v="FI_Bonds_STR"/>
    <x v="7"/>
    <x v="17"/>
    <x v="17"/>
    <x v="17"/>
    <x v="17"/>
  </r>
  <r>
    <s v="FI_Bonds_STR"/>
    <x v="7"/>
    <x v="177"/>
    <x v="177"/>
    <x v="177"/>
    <x v="173"/>
  </r>
  <r>
    <s v="FI_Bonds_STR"/>
    <x v="7"/>
    <x v="18"/>
    <x v="18"/>
    <x v="18"/>
    <x v="18"/>
  </r>
  <r>
    <s v="FI_Bonds_STR"/>
    <x v="7"/>
    <x v="19"/>
    <x v="19"/>
    <x v="19"/>
    <x v="19"/>
  </r>
  <r>
    <s v="FI_Bonds_STR"/>
    <x v="7"/>
    <x v="178"/>
    <x v="178"/>
    <x v="178"/>
    <x v="174"/>
  </r>
  <r>
    <s v="FI_Bonds_STR"/>
    <x v="7"/>
    <x v="179"/>
    <x v="179"/>
    <x v="179"/>
    <x v="175"/>
  </r>
  <r>
    <s v="FI_Bonds_STR"/>
    <x v="7"/>
    <x v="20"/>
    <x v="20"/>
    <x v="20"/>
    <x v="20"/>
  </r>
  <r>
    <s v="FI_Bonds_STR"/>
    <x v="7"/>
    <x v="22"/>
    <x v="22"/>
    <x v="22"/>
    <x v="22"/>
  </r>
  <r>
    <s v="FI_Bonds_STR"/>
    <x v="7"/>
    <x v="272"/>
    <x v="272"/>
    <x v="272"/>
    <x v="267"/>
  </r>
  <r>
    <s v="FI_Bonds_STR"/>
    <x v="7"/>
    <x v="180"/>
    <x v="180"/>
    <x v="180"/>
    <x v="176"/>
  </r>
  <r>
    <s v="FI_Bonds_STR"/>
    <x v="7"/>
    <x v="181"/>
    <x v="181"/>
    <x v="181"/>
    <x v="177"/>
  </r>
  <r>
    <s v="FI_Bonds_STR"/>
    <x v="7"/>
    <x v="182"/>
    <x v="182"/>
    <x v="182"/>
    <x v="178"/>
  </r>
  <r>
    <s v="FI_Bonds_STR"/>
    <x v="7"/>
    <x v="183"/>
    <x v="183"/>
    <x v="183"/>
    <x v="179"/>
  </r>
  <r>
    <s v="FI_Bonds_STR"/>
    <x v="7"/>
    <x v="184"/>
    <x v="184"/>
    <x v="184"/>
    <x v="180"/>
  </r>
  <r>
    <s v="FI_Bonds_STR"/>
    <x v="7"/>
    <x v="27"/>
    <x v="27"/>
    <x v="27"/>
    <x v="27"/>
  </r>
  <r>
    <s v="FI_Bonds_STR"/>
    <x v="7"/>
    <x v="28"/>
    <x v="28"/>
    <x v="28"/>
    <x v="28"/>
  </r>
  <r>
    <s v="FI_Bonds_STR"/>
    <x v="7"/>
    <x v="29"/>
    <x v="29"/>
    <x v="29"/>
    <x v="29"/>
  </r>
  <r>
    <s v="FI_Bonds_STR"/>
    <x v="7"/>
    <x v="185"/>
    <x v="185"/>
    <x v="185"/>
    <x v="181"/>
  </r>
  <r>
    <s v="FI_Bonds_STR"/>
    <x v="7"/>
    <x v="186"/>
    <x v="186"/>
    <x v="186"/>
    <x v="182"/>
  </r>
  <r>
    <s v="FI_Bonds_STR"/>
    <x v="7"/>
    <x v="187"/>
    <x v="187"/>
    <x v="187"/>
    <x v="183"/>
  </r>
  <r>
    <s v="FI_Bonds_STR"/>
    <x v="7"/>
    <x v="188"/>
    <x v="188"/>
    <x v="188"/>
    <x v="184"/>
  </r>
  <r>
    <s v="FI_Bonds_STR"/>
    <x v="7"/>
    <x v="189"/>
    <x v="189"/>
    <x v="189"/>
    <x v="185"/>
  </r>
  <r>
    <s v="FI_Bonds_STR"/>
    <x v="7"/>
    <x v="190"/>
    <x v="190"/>
    <x v="190"/>
    <x v="186"/>
  </r>
  <r>
    <s v="FI_Bonds_STR"/>
    <x v="7"/>
    <x v="191"/>
    <x v="191"/>
    <x v="191"/>
    <x v="187"/>
  </r>
  <r>
    <s v="FI_Bonds_STR"/>
    <x v="7"/>
    <x v="273"/>
    <x v="273"/>
    <x v="273"/>
    <x v="268"/>
  </r>
  <r>
    <s v="FI_Bonds_STR"/>
    <x v="7"/>
    <x v="192"/>
    <x v="192"/>
    <x v="192"/>
    <x v="188"/>
  </r>
  <r>
    <s v="FI_Bonds_STR"/>
    <x v="7"/>
    <x v="193"/>
    <x v="193"/>
    <x v="193"/>
    <x v="189"/>
  </r>
  <r>
    <s v="FI_Bonds_STR"/>
    <x v="7"/>
    <x v="214"/>
    <x v="214"/>
    <x v="214"/>
    <x v="209"/>
  </r>
  <r>
    <s v="FI_Bonds_STR"/>
    <x v="7"/>
    <x v="215"/>
    <x v="215"/>
    <x v="215"/>
    <x v="210"/>
  </r>
  <r>
    <s v="FI_Bonds_STR"/>
    <x v="7"/>
    <x v="216"/>
    <x v="216"/>
    <x v="216"/>
    <x v="211"/>
  </r>
  <r>
    <s v="FI_Bonds_STR"/>
    <x v="7"/>
    <x v="217"/>
    <x v="217"/>
    <x v="217"/>
    <x v="212"/>
  </r>
  <r>
    <s v="FI_Bonds_STR"/>
    <x v="7"/>
    <x v="218"/>
    <x v="218"/>
    <x v="218"/>
    <x v="213"/>
  </r>
  <r>
    <s v="FI_Bonds_STR"/>
    <x v="7"/>
    <x v="219"/>
    <x v="219"/>
    <x v="219"/>
    <x v="214"/>
  </r>
  <r>
    <s v="FI_Bonds_STR"/>
    <x v="7"/>
    <x v="274"/>
    <x v="274"/>
    <x v="274"/>
    <x v="269"/>
  </r>
  <r>
    <s v="FI_Bonds_STR"/>
    <x v="7"/>
    <x v="275"/>
    <x v="275"/>
    <x v="275"/>
    <x v="270"/>
  </r>
  <r>
    <s v="FI_Bonds_STR"/>
    <x v="7"/>
    <x v="276"/>
    <x v="276"/>
    <x v="276"/>
    <x v="271"/>
  </r>
  <r>
    <s v="FI_Bonds_STR"/>
    <x v="7"/>
    <x v="277"/>
    <x v="277"/>
    <x v="277"/>
    <x v="272"/>
  </r>
  <r>
    <s v="FI_Bonds_STR"/>
    <x v="7"/>
    <x v="220"/>
    <x v="220"/>
    <x v="220"/>
    <x v="215"/>
  </r>
  <r>
    <s v="FI_Bonds_STR"/>
    <x v="7"/>
    <x v="251"/>
    <x v="251"/>
    <x v="251"/>
    <x v="246"/>
  </r>
  <r>
    <s v="FI_Bonds_STR"/>
    <x v="7"/>
    <x v="278"/>
    <x v="278"/>
    <x v="278"/>
    <x v="273"/>
  </r>
  <r>
    <s v="FI_Bonds_STR"/>
    <x v="7"/>
    <x v="221"/>
    <x v="221"/>
    <x v="221"/>
    <x v="216"/>
  </r>
  <r>
    <s v="FI_Bonds_STR"/>
    <x v="7"/>
    <x v="152"/>
    <x v="152"/>
    <x v="152"/>
    <x v="148"/>
  </r>
  <r>
    <s v="FI_Bonds_STR"/>
    <x v="7"/>
    <x v="153"/>
    <x v="153"/>
    <x v="153"/>
    <x v="149"/>
  </r>
  <r>
    <s v="FI_Bonds_STR"/>
    <x v="7"/>
    <x v="65"/>
    <x v="65"/>
    <x v="65"/>
    <x v="65"/>
  </r>
  <r>
    <s v="FI_Bonds_STR"/>
    <x v="7"/>
    <x v="279"/>
    <x v="279"/>
    <x v="279"/>
    <x v="274"/>
  </r>
  <r>
    <s v="FI_Bonds_STR"/>
    <x v="7"/>
    <x v="252"/>
    <x v="252"/>
    <x v="252"/>
    <x v="247"/>
  </r>
  <r>
    <s v="FI_Bonds_STR"/>
    <x v="7"/>
    <x v="253"/>
    <x v="253"/>
    <x v="253"/>
    <x v="248"/>
  </r>
  <r>
    <s v="FI_Bonds_STR"/>
    <x v="7"/>
    <x v="280"/>
    <x v="280"/>
    <x v="280"/>
    <x v="275"/>
  </r>
  <r>
    <s v="FI_Bonds_STR"/>
    <x v="7"/>
    <x v="281"/>
    <x v="281"/>
    <x v="281"/>
    <x v="276"/>
  </r>
  <r>
    <s v="FI_Bonds_STR"/>
    <x v="7"/>
    <x v="282"/>
    <x v="282"/>
    <x v="282"/>
    <x v="277"/>
  </r>
  <r>
    <s v="FI_Bonds_STR"/>
    <x v="7"/>
    <x v="283"/>
    <x v="283"/>
    <x v="283"/>
    <x v="278"/>
  </r>
  <r>
    <s v="FI_Bonds_STR"/>
    <x v="7"/>
    <x v="284"/>
    <x v="284"/>
    <x v="284"/>
    <x v="279"/>
  </r>
  <r>
    <s v="FI_Bonds_STR"/>
    <x v="7"/>
    <x v="222"/>
    <x v="222"/>
    <x v="222"/>
    <x v="217"/>
  </r>
  <r>
    <s v="FI_Bonds_STR"/>
    <x v="7"/>
    <x v="223"/>
    <x v="223"/>
    <x v="223"/>
    <x v="218"/>
  </r>
  <r>
    <s v="FI_Bonds_STR"/>
    <x v="7"/>
    <x v="224"/>
    <x v="224"/>
    <x v="224"/>
    <x v="219"/>
  </r>
  <r>
    <s v="FI_Bonds_STR"/>
    <x v="7"/>
    <x v="285"/>
    <x v="285"/>
    <x v="285"/>
    <x v="280"/>
  </r>
  <r>
    <s v="FI_Bonds_STR"/>
    <x v="7"/>
    <x v="286"/>
    <x v="286"/>
    <x v="286"/>
    <x v="281"/>
  </r>
  <r>
    <s v="FI_Bonds_STR"/>
    <x v="7"/>
    <x v="287"/>
    <x v="287"/>
    <x v="287"/>
    <x v="282"/>
  </r>
  <r>
    <s v="FI_Bonds_STR"/>
    <x v="7"/>
    <x v="288"/>
    <x v="288"/>
    <x v="288"/>
    <x v="283"/>
  </r>
  <r>
    <s v="FI_Bonds_STR"/>
    <x v="7"/>
    <x v="289"/>
    <x v="289"/>
    <x v="289"/>
    <x v="284"/>
  </r>
  <r>
    <s v="FI_Bonds_STR"/>
    <x v="7"/>
    <x v="290"/>
    <x v="290"/>
    <x v="290"/>
    <x v="285"/>
  </r>
  <r>
    <s v="FI_Bonds_STR"/>
    <x v="7"/>
    <x v="291"/>
    <x v="291"/>
    <x v="291"/>
    <x v="286"/>
  </r>
  <r>
    <s v="FI_Bonds_STR"/>
    <x v="7"/>
    <x v="292"/>
    <x v="292"/>
    <x v="292"/>
    <x v="287"/>
  </r>
  <r>
    <s v="FI_Bonds_STR"/>
    <x v="7"/>
    <x v="293"/>
    <x v="293"/>
    <x v="293"/>
    <x v="288"/>
  </r>
  <r>
    <s v="FI_Bonds_STR"/>
    <x v="7"/>
    <x v="294"/>
    <x v="294"/>
    <x v="294"/>
    <x v="289"/>
  </r>
  <r>
    <s v="FI_Bonds_STR"/>
    <x v="7"/>
    <x v="295"/>
    <x v="295"/>
    <x v="295"/>
    <x v="290"/>
  </r>
  <r>
    <s v="FI_Bonds_STR"/>
    <x v="7"/>
    <x v="296"/>
    <x v="296"/>
    <x v="296"/>
    <x v="291"/>
  </r>
  <r>
    <s v="FI_Bonds_STR"/>
    <x v="7"/>
    <x v="297"/>
    <x v="297"/>
    <x v="297"/>
    <x v="292"/>
  </r>
  <r>
    <s v="FI_Bonds_STR"/>
    <x v="7"/>
    <x v="298"/>
    <x v="298"/>
    <x v="298"/>
    <x v="293"/>
  </r>
  <r>
    <s v="FI_Bonds_STR"/>
    <x v="7"/>
    <x v="299"/>
    <x v="299"/>
    <x v="299"/>
    <x v="294"/>
  </r>
  <r>
    <s v="FI_Bonds_STR"/>
    <x v="7"/>
    <x v="300"/>
    <x v="300"/>
    <x v="300"/>
    <x v="294"/>
  </r>
  <r>
    <s v="FI_Bonds_STR"/>
    <x v="7"/>
    <x v="301"/>
    <x v="301"/>
    <x v="301"/>
    <x v="294"/>
  </r>
  <r>
    <s v="FI_Bonds_STR"/>
    <x v="7"/>
    <x v="302"/>
    <x v="302"/>
    <x v="302"/>
    <x v="295"/>
  </r>
  <r>
    <s v="FI_Bonds_STR"/>
    <x v="7"/>
    <x v="303"/>
    <x v="303"/>
    <x v="303"/>
    <x v="295"/>
  </r>
  <r>
    <s v="FI_Bonds_STR"/>
    <x v="7"/>
    <x v="304"/>
    <x v="304"/>
    <x v="304"/>
    <x v="295"/>
  </r>
  <r>
    <s v="FI_Bonds_STR"/>
    <x v="7"/>
    <x v="305"/>
    <x v="305"/>
    <x v="305"/>
    <x v="296"/>
  </r>
  <r>
    <s v="FI_Bonds_STR"/>
    <x v="7"/>
    <x v="306"/>
    <x v="306"/>
    <x v="306"/>
    <x v="297"/>
  </r>
  <r>
    <s v="FI_Bonds_STR"/>
    <x v="7"/>
    <x v="307"/>
    <x v="307"/>
    <x v="307"/>
    <x v="298"/>
  </r>
  <r>
    <s v="FI_Bonds_STR"/>
    <x v="7"/>
    <x v="308"/>
    <x v="308"/>
    <x v="308"/>
    <x v="299"/>
  </r>
  <r>
    <s v="FI_Bonds_STR"/>
    <x v="7"/>
    <x v="309"/>
    <x v="309"/>
    <x v="309"/>
    <x v="300"/>
  </r>
  <r>
    <s v="FI_Bonds_STR"/>
    <x v="7"/>
    <x v="310"/>
    <x v="310"/>
    <x v="310"/>
    <x v="301"/>
  </r>
  <r>
    <s v="FI_Bonds_STR"/>
    <x v="7"/>
    <x v="311"/>
    <x v="311"/>
    <x v="311"/>
    <x v="302"/>
  </r>
  <r>
    <s v="FI_Bonds_STR"/>
    <x v="7"/>
    <x v="312"/>
    <x v="312"/>
    <x v="312"/>
    <x v="303"/>
  </r>
  <r>
    <s v="FI_Bonds_STR"/>
    <x v="7"/>
    <x v="313"/>
    <x v="313"/>
    <x v="313"/>
    <x v="304"/>
  </r>
  <r>
    <s v="FI_Bonds_STR"/>
    <x v="7"/>
    <x v="314"/>
    <x v="314"/>
    <x v="314"/>
    <x v="305"/>
  </r>
  <r>
    <s v="FI_Bonds_STR"/>
    <x v="7"/>
    <x v="315"/>
    <x v="315"/>
    <x v="315"/>
    <x v="306"/>
  </r>
  <r>
    <s v="FI_Bonds_STR"/>
    <x v="7"/>
    <x v="316"/>
    <x v="316"/>
    <x v="316"/>
    <x v="307"/>
  </r>
  <r>
    <s v="FI_Bonds_STR"/>
    <x v="7"/>
    <x v="317"/>
    <x v="317"/>
    <x v="317"/>
    <x v="308"/>
  </r>
  <r>
    <s v="FI_Bonds_STR"/>
    <x v="7"/>
    <x v="318"/>
    <x v="318"/>
    <x v="318"/>
    <x v="309"/>
  </r>
  <r>
    <s v="FI_Bonds_STR"/>
    <x v="7"/>
    <x v="319"/>
    <x v="319"/>
    <x v="319"/>
    <x v="310"/>
  </r>
  <r>
    <s v="FI_Bonds_STR"/>
    <x v="7"/>
    <x v="320"/>
    <x v="320"/>
    <x v="320"/>
    <x v="311"/>
  </r>
  <r>
    <s v="FI_Bonds_STR"/>
    <x v="7"/>
    <x v="321"/>
    <x v="321"/>
    <x v="321"/>
    <x v="312"/>
  </r>
  <r>
    <s v="FI_Bonds_STR"/>
    <x v="7"/>
    <x v="322"/>
    <x v="322"/>
    <x v="322"/>
    <x v="313"/>
  </r>
  <r>
    <s v="FI_Bonds_STR"/>
    <x v="7"/>
    <x v="323"/>
    <x v="323"/>
    <x v="323"/>
    <x v="314"/>
  </r>
  <r>
    <s v="FI_Bonds_STR"/>
    <x v="7"/>
    <x v="324"/>
    <x v="324"/>
    <x v="324"/>
    <x v="315"/>
  </r>
  <r>
    <s v="FI_Bonds_STR"/>
    <x v="7"/>
    <x v="325"/>
    <x v="325"/>
    <x v="325"/>
    <x v="316"/>
  </r>
  <r>
    <s v="FI_Bonds_STR"/>
    <x v="7"/>
    <x v="326"/>
    <x v="326"/>
    <x v="326"/>
    <x v="317"/>
  </r>
  <r>
    <s v="FI_Bonds_STR"/>
    <x v="7"/>
    <x v="327"/>
    <x v="327"/>
    <x v="327"/>
    <x v="318"/>
  </r>
  <r>
    <s v="FI_Bonds_STR"/>
    <x v="7"/>
    <x v="328"/>
    <x v="328"/>
    <x v="328"/>
    <x v="319"/>
  </r>
  <r>
    <s v="FI_Bonds_STR"/>
    <x v="7"/>
    <x v="329"/>
    <x v="329"/>
    <x v="329"/>
    <x v="320"/>
  </r>
  <r>
    <s v="FI_Bonds_STR"/>
    <x v="7"/>
    <x v="330"/>
    <x v="330"/>
    <x v="330"/>
    <x v="321"/>
  </r>
  <r>
    <s v="FI_Bonds_STR"/>
    <x v="7"/>
    <x v="331"/>
    <x v="331"/>
    <x v="331"/>
    <x v="322"/>
  </r>
  <r>
    <s v="FI_Bonds_STR"/>
    <x v="7"/>
    <x v="332"/>
    <x v="332"/>
    <x v="332"/>
    <x v="323"/>
  </r>
  <r>
    <s v="FI_Bonds_STR"/>
    <x v="7"/>
    <x v="333"/>
    <x v="333"/>
    <x v="333"/>
    <x v="324"/>
  </r>
  <r>
    <s v="FI_Bonds_STR"/>
    <x v="7"/>
    <x v="334"/>
    <x v="334"/>
    <x v="334"/>
    <x v="325"/>
  </r>
  <r>
    <s v="FI_Bonds_STR"/>
    <x v="7"/>
    <x v="335"/>
    <x v="335"/>
    <x v="335"/>
    <x v="326"/>
  </r>
  <r>
    <s v="FI_Bonds_STR"/>
    <x v="7"/>
    <x v="336"/>
    <x v="336"/>
    <x v="336"/>
    <x v="327"/>
  </r>
  <r>
    <s v="FI_Bonds_STR"/>
    <x v="7"/>
    <x v="337"/>
    <x v="337"/>
    <x v="337"/>
    <x v="328"/>
  </r>
  <r>
    <s v="FI_Bonds_STR"/>
    <x v="7"/>
    <x v="338"/>
    <x v="338"/>
    <x v="338"/>
    <x v="329"/>
  </r>
  <r>
    <s v="FI_Bonds_STR"/>
    <x v="7"/>
    <x v="339"/>
    <x v="339"/>
    <x v="339"/>
    <x v="330"/>
  </r>
  <r>
    <s v="FI_Bonds_STR"/>
    <x v="7"/>
    <x v="340"/>
    <x v="340"/>
    <x v="340"/>
    <x v="331"/>
  </r>
  <r>
    <s v="FI_Bonds_STR"/>
    <x v="7"/>
    <x v="341"/>
    <x v="341"/>
    <x v="341"/>
    <x v="332"/>
  </r>
  <r>
    <s v="FI_Bonds_STR"/>
    <x v="7"/>
    <x v="342"/>
    <x v="342"/>
    <x v="342"/>
    <x v="333"/>
  </r>
  <r>
    <s v="FI_Bonds_STR"/>
    <x v="7"/>
    <x v="343"/>
    <x v="343"/>
    <x v="343"/>
    <x v="334"/>
  </r>
  <r>
    <s v="FI_Bonds_STR"/>
    <x v="7"/>
    <x v="344"/>
    <x v="344"/>
    <x v="344"/>
    <x v="335"/>
  </r>
  <r>
    <s v="FI_Bonds_STR"/>
    <x v="7"/>
    <x v="345"/>
    <x v="345"/>
    <x v="345"/>
    <x v="336"/>
  </r>
  <r>
    <s v="FI_Bonds_STR"/>
    <x v="7"/>
    <x v="346"/>
    <x v="346"/>
    <x v="346"/>
    <x v="337"/>
  </r>
  <r>
    <s v="FI_Bonds_STR"/>
    <x v="7"/>
    <x v="347"/>
    <x v="347"/>
    <x v="347"/>
    <x v="338"/>
  </r>
  <r>
    <s v="FI_CRD"/>
    <x v="8"/>
    <x v="348"/>
    <x v="348"/>
    <x v="348"/>
    <x v="339"/>
  </r>
  <r>
    <s v="FI_CRD"/>
    <x v="8"/>
    <x v="349"/>
    <x v="349"/>
    <x v="349"/>
    <x v="340"/>
  </r>
  <r>
    <s v="FI_CRD"/>
    <x v="8"/>
    <x v="350"/>
    <x v="350"/>
    <x v="350"/>
    <x v="341"/>
  </r>
  <r>
    <s v="FI_Loans"/>
    <x v="9"/>
    <x v="4"/>
    <x v="4"/>
    <x v="4"/>
    <x v="4"/>
  </r>
  <r>
    <s v="FI_Loans"/>
    <x v="9"/>
    <x v="5"/>
    <x v="5"/>
    <x v="5"/>
    <x v="5"/>
  </r>
  <r>
    <s v="FI_Loans"/>
    <x v="9"/>
    <x v="6"/>
    <x v="6"/>
    <x v="6"/>
    <x v="6"/>
  </r>
  <r>
    <s v="FI_Loans"/>
    <x v="9"/>
    <x v="166"/>
    <x v="166"/>
    <x v="166"/>
    <x v="162"/>
  </r>
  <r>
    <s v="FI_Loans"/>
    <x v="9"/>
    <x v="168"/>
    <x v="168"/>
    <x v="168"/>
    <x v="164"/>
  </r>
  <r>
    <s v="FI_Loans"/>
    <x v="9"/>
    <x v="216"/>
    <x v="216"/>
    <x v="216"/>
    <x v="211"/>
  </r>
  <r>
    <s v="FI_Loans"/>
    <x v="9"/>
    <x v="351"/>
    <x v="351"/>
    <x v="351"/>
    <x v="342"/>
  </r>
  <r>
    <s v="FI_Loans"/>
    <x v="9"/>
    <x v="352"/>
    <x v="352"/>
    <x v="352"/>
    <x v="343"/>
  </r>
  <r>
    <s v="FI_Loans"/>
    <x v="9"/>
    <x v="353"/>
    <x v="353"/>
    <x v="353"/>
    <x v="344"/>
  </r>
  <r>
    <s v="FI_Loans"/>
    <x v="9"/>
    <x v="354"/>
    <x v="354"/>
    <x v="354"/>
    <x v="345"/>
  </r>
  <r>
    <s v="FI_Loans"/>
    <x v="9"/>
    <x v="355"/>
    <x v="355"/>
    <x v="355"/>
    <x v="346"/>
  </r>
  <r>
    <s v="FI_Loans"/>
    <x v="9"/>
    <x v="356"/>
    <x v="356"/>
    <x v="356"/>
    <x v="347"/>
  </r>
  <r>
    <s v="FI_Loans"/>
    <x v="9"/>
    <x v="357"/>
    <x v="357"/>
    <x v="357"/>
    <x v="348"/>
  </r>
  <r>
    <s v="FI_Loans"/>
    <x v="9"/>
    <x v="358"/>
    <x v="358"/>
    <x v="358"/>
    <x v="349"/>
  </r>
  <r>
    <s v="FI_YC_Derived"/>
    <x v="10"/>
    <x v="4"/>
    <x v="4"/>
    <x v="4"/>
    <x v="4"/>
  </r>
  <r>
    <s v="FI_YC_Derived"/>
    <x v="10"/>
    <x v="5"/>
    <x v="5"/>
    <x v="5"/>
    <x v="5"/>
  </r>
  <r>
    <s v="FI_YC_Derived"/>
    <x v="10"/>
    <x v="6"/>
    <x v="6"/>
    <x v="6"/>
    <x v="6"/>
  </r>
  <r>
    <s v="FI_YC_Derived"/>
    <x v="10"/>
    <x v="166"/>
    <x v="166"/>
    <x v="166"/>
    <x v="162"/>
  </r>
  <r>
    <s v="FI_YC_Derived"/>
    <x v="10"/>
    <x v="205"/>
    <x v="205"/>
    <x v="205"/>
    <x v="201"/>
  </r>
  <r>
    <s v="FI_YC_Derived"/>
    <x v="10"/>
    <x v="206"/>
    <x v="206"/>
    <x v="206"/>
    <x v="202"/>
  </r>
  <r>
    <s v="FI_YC_Derived"/>
    <x v="10"/>
    <x v="167"/>
    <x v="167"/>
    <x v="167"/>
    <x v="163"/>
  </r>
  <r>
    <s v="FI_YC_Derived"/>
    <x v="10"/>
    <x v="169"/>
    <x v="169"/>
    <x v="169"/>
    <x v="165"/>
  </r>
  <r>
    <s v="FI_YC_Derived"/>
    <x v="10"/>
    <x v="207"/>
    <x v="207"/>
    <x v="207"/>
    <x v="203"/>
  </r>
  <r>
    <s v="FI_YC_Derived"/>
    <x v="10"/>
    <x v="244"/>
    <x v="244"/>
    <x v="244"/>
    <x v="239"/>
  </r>
  <r>
    <s v="FI_YC_Derived"/>
    <x v="10"/>
    <x v="264"/>
    <x v="264"/>
    <x v="264"/>
    <x v="259"/>
  </r>
  <r>
    <s v="FI_YC_Derived"/>
    <x v="10"/>
    <x v="265"/>
    <x v="265"/>
    <x v="265"/>
    <x v="260"/>
  </r>
  <r>
    <s v="FI_YC_Derived"/>
    <x v="10"/>
    <x v="245"/>
    <x v="245"/>
    <x v="245"/>
    <x v="240"/>
  </r>
  <r>
    <s v="FI_YC_Derived"/>
    <x v="10"/>
    <x v="267"/>
    <x v="267"/>
    <x v="267"/>
    <x v="262"/>
  </r>
  <r>
    <s v="FI_YC_Derived"/>
    <x v="10"/>
    <x v="208"/>
    <x v="208"/>
    <x v="208"/>
    <x v="204"/>
  </r>
  <r>
    <s v="FI_YC_Derived"/>
    <x v="10"/>
    <x v="209"/>
    <x v="209"/>
    <x v="209"/>
    <x v="204"/>
  </r>
  <r>
    <s v="FI_YC_Derived"/>
    <x v="10"/>
    <x v="269"/>
    <x v="269"/>
    <x v="269"/>
    <x v="264"/>
  </r>
  <r>
    <s v="FI_YC_Derived"/>
    <x v="10"/>
    <x v="270"/>
    <x v="270"/>
    <x v="270"/>
    <x v="265"/>
  </r>
  <r>
    <s v="FI_YC_Derived"/>
    <x v="10"/>
    <x v="14"/>
    <x v="14"/>
    <x v="14"/>
    <x v="14"/>
  </r>
  <r>
    <s v="FI_YC_Derived"/>
    <x v="10"/>
    <x v="15"/>
    <x v="15"/>
    <x v="15"/>
    <x v="15"/>
  </r>
  <r>
    <s v="FI_YC_Derived"/>
    <x v="10"/>
    <x v="16"/>
    <x v="16"/>
    <x v="16"/>
    <x v="16"/>
  </r>
  <r>
    <s v="FI_YC_Derived"/>
    <x v="10"/>
    <x v="180"/>
    <x v="180"/>
    <x v="180"/>
    <x v="176"/>
  </r>
  <r>
    <s v="FI_YC_Derived"/>
    <x v="10"/>
    <x v="181"/>
    <x v="181"/>
    <x v="181"/>
    <x v="177"/>
  </r>
  <r>
    <s v="FI_YC_Derived"/>
    <x v="10"/>
    <x v="182"/>
    <x v="182"/>
    <x v="182"/>
    <x v="178"/>
  </r>
  <r>
    <s v="FI_YC_Derived"/>
    <x v="10"/>
    <x v="183"/>
    <x v="183"/>
    <x v="183"/>
    <x v="179"/>
  </r>
  <r>
    <s v="FI_YC_Derived"/>
    <x v="10"/>
    <x v="184"/>
    <x v="184"/>
    <x v="184"/>
    <x v="180"/>
  </r>
  <r>
    <s v="FI_YC_Derived"/>
    <x v="10"/>
    <x v="273"/>
    <x v="273"/>
    <x v="273"/>
    <x v="268"/>
  </r>
  <r>
    <s v="FI_YC_Derived"/>
    <x v="10"/>
    <x v="359"/>
    <x v="359"/>
    <x v="359"/>
    <x v="350"/>
  </r>
  <r>
    <s v="FI_YC_Derived"/>
    <x v="10"/>
    <x v="218"/>
    <x v="218"/>
    <x v="218"/>
    <x v="213"/>
  </r>
  <r>
    <s v="FI_YC_Derived"/>
    <x v="10"/>
    <x v="219"/>
    <x v="219"/>
    <x v="219"/>
    <x v="214"/>
  </r>
  <r>
    <s v="FI_YC_Derived"/>
    <x v="10"/>
    <x v="274"/>
    <x v="274"/>
    <x v="274"/>
    <x v="269"/>
  </r>
  <r>
    <s v="FI_YC_Derived"/>
    <x v="10"/>
    <x v="275"/>
    <x v="275"/>
    <x v="275"/>
    <x v="270"/>
  </r>
  <r>
    <s v="FI_YC_Derived"/>
    <x v="10"/>
    <x v="276"/>
    <x v="276"/>
    <x v="276"/>
    <x v="271"/>
  </r>
  <r>
    <s v="FI_YC_Derived"/>
    <x v="10"/>
    <x v="277"/>
    <x v="277"/>
    <x v="277"/>
    <x v="272"/>
  </r>
  <r>
    <s v="FI_YC_Derived"/>
    <x v="10"/>
    <x v="360"/>
    <x v="360"/>
    <x v="360"/>
    <x v="351"/>
  </r>
  <r>
    <s v="FI_YC_Derived"/>
    <x v="10"/>
    <x v="361"/>
    <x v="361"/>
    <x v="360"/>
    <x v="352"/>
  </r>
  <r>
    <s v="FI_YC_Derived"/>
    <x v="10"/>
    <x v="362"/>
    <x v="362"/>
    <x v="360"/>
    <x v="353"/>
  </r>
  <r>
    <s v="FI_YC_Derived"/>
    <x v="10"/>
    <x v="363"/>
    <x v="363"/>
    <x v="360"/>
    <x v="354"/>
  </r>
  <r>
    <s v="FI_YC_Derived"/>
    <x v="10"/>
    <x v="364"/>
    <x v="364"/>
    <x v="360"/>
    <x v="355"/>
  </r>
  <r>
    <s v="FI_YC_Derived"/>
    <x v="10"/>
    <x v="365"/>
    <x v="365"/>
    <x v="360"/>
    <x v="356"/>
  </r>
  <r>
    <s v="FI_YC_Derived"/>
    <x v="10"/>
    <x v="278"/>
    <x v="278"/>
    <x v="278"/>
    <x v="273"/>
  </r>
  <r>
    <s v="FI_YC_Derived"/>
    <x v="10"/>
    <x v="366"/>
    <x v="366"/>
    <x v="361"/>
    <x v="357"/>
  </r>
  <r>
    <s v="FI_YC_Derived"/>
    <x v="10"/>
    <x v="280"/>
    <x v="280"/>
    <x v="280"/>
    <x v="275"/>
  </r>
  <r>
    <s v="FI_YC_Derived"/>
    <x v="10"/>
    <x v="281"/>
    <x v="281"/>
    <x v="281"/>
    <x v="276"/>
  </r>
  <r>
    <s v="FI_YC_Derived"/>
    <x v="10"/>
    <x v="282"/>
    <x v="282"/>
    <x v="282"/>
    <x v="277"/>
  </r>
  <r>
    <s v="FI_YC_Derived"/>
    <x v="10"/>
    <x v="283"/>
    <x v="283"/>
    <x v="283"/>
    <x v="278"/>
  </r>
  <r>
    <s v="FI_YC_Derived"/>
    <x v="10"/>
    <x v="284"/>
    <x v="284"/>
    <x v="284"/>
    <x v="279"/>
  </r>
  <r>
    <s v="FI_YC_Derived"/>
    <x v="10"/>
    <x v="367"/>
    <x v="367"/>
    <x v="362"/>
    <x v="358"/>
  </r>
  <r>
    <s v="FI_YC_Derived"/>
    <x v="10"/>
    <x v="368"/>
    <x v="368"/>
    <x v="360"/>
    <x v="359"/>
  </r>
  <r>
    <s v="FI_YC_Derived"/>
    <x v="10"/>
    <x v="369"/>
    <x v="369"/>
    <x v="360"/>
    <x v="360"/>
  </r>
  <r>
    <s v="FI_YC_Derived"/>
    <x v="10"/>
    <x v="370"/>
    <x v="370"/>
    <x v="360"/>
    <x v="361"/>
  </r>
  <r>
    <s v="FI_YC_Derived"/>
    <x v="10"/>
    <x v="371"/>
    <x v="371"/>
    <x v="360"/>
    <x v="362"/>
  </r>
  <r>
    <s v="FI_YC_Derived"/>
    <x v="10"/>
    <x v="372"/>
    <x v="372"/>
    <x v="360"/>
    <x v="363"/>
  </r>
  <r>
    <s v="FI_YC_Derived"/>
    <x v="10"/>
    <x v="373"/>
    <x v="373"/>
    <x v="360"/>
    <x v="364"/>
  </r>
  <r>
    <s v="FI_YC_Derived"/>
    <x v="10"/>
    <x v="374"/>
    <x v="374"/>
    <x v="360"/>
    <x v="365"/>
  </r>
  <r>
    <s v="FI_YC_Derived"/>
    <x v="10"/>
    <x v="375"/>
    <x v="375"/>
    <x v="360"/>
    <x v="366"/>
  </r>
  <r>
    <s v="FI_YC_Derived"/>
    <x v="10"/>
    <x v="376"/>
    <x v="376"/>
    <x v="360"/>
    <x v="367"/>
  </r>
  <r>
    <s v="FI_YC_Derived"/>
    <x v="10"/>
    <x v="377"/>
    <x v="377"/>
    <x v="360"/>
    <x v="368"/>
  </r>
  <r>
    <s v="FI_YC_Derived"/>
    <x v="10"/>
    <x v="378"/>
    <x v="378"/>
    <x v="360"/>
    <x v="369"/>
  </r>
  <r>
    <s v="FI_YC_Derived"/>
    <x v="10"/>
    <x v="379"/>
    <x v="379"/>
    <x v="360"/>
    <x v="370"/>
  </r>
  <r>
    <s v="FI_YC_Derived"/>
    <x v="10"/>
    <x v="380"/>
    <x v="380"/>
    <x v="360"/>
    <x v="371"/>
  </r>
  <r>
    <s v="FI_YC_Derived"/>
    <x v="10"/>
    <x v="381"/>
    <x v="381"/>
    <x v="360"/>
    <x v="372"/>
  </r>
  <r>
    <s v="FI_YC_Derived"/>
    <x v="10"/>
    <x v="382"/>
    <x v="382"/>
    <x v="360"/>
    <x v="373"/>
  </r>
  <r>
    <s v="FI_YC_Derived"/>
    <x v="10"/>
    <x v="383"/>
    <x v="383"/>
    <x v="360"/>
    <x v="374"/>
  </r>
  <r>
    <s v="FI_YC_Derived"/>
    <x v="10"/>
    <x v="384"/>
    <x v="384"/>
    <x v="360"/>
    <x v="375"/>
  </r>
  <r>
    <s v="FI_YC_Derived"/>
    <x v="10"/>
    <x v="385"/>
    <x v="385"/>
    <x v="360"/>
    <x v="376"/>
  </r>
  <r>
    <s v="FI_YC_Derived"/>
    <x v="10"/>
    <x v="386"/>
    <x v="386"/>
    <x v="360"/>
    <x v="377"/>
  </r>
  <r>
    <s v="FI_YC_Derived"/>
    <x v="10"/>
    <x v="387"/>
    <x v="387"/>
    <x v="360"/>
    <x v="378"/>
  </r>
  <r>
    <s v="FI_YC_Derived"/>
    <x v="10"/>
    <x v="388"/>
    <x v="388"/>
    <x v="360"/>
    <x v="379"/>
  </r>
  <r>
    <s v="FI_YC_Derived"/>
    <x v="10"/>
    <x v="389"/>
    <x v="389"/>
    <x v="360"/>
    <x v="380"/>
  </r>
  <r>
    <s v="FI_YC_Derived"/>
    <x v="10"/>
    <x v="390"/>
    <x v="390"/>
    <x v="360"/>
    <x v="381"/>
  </r>
  <r>
    <s v="FI_YC_Derived"/>
    <x v="10"/>
    <x v="391"/>
    <x v="391"/>
    <x v="360"/>
    <x v="382"/>
  </r>
  <r>
    <s v="FI_YC_Derived"/>
    <x v="10"/>
    <x v="392"/>
    <x v="392"/>
    <x v="363"/>
    <x v="383"/>
  </r>
  <r>
    <s v="FI_YC_Derived"/>
    <x v="10"/>
    <x v="393"/>
    <x v="393"/>
    <x v="364"/>
    <x v="384"/>
  </r>
  <r>
    <s v="FI_YC_Derived"/>
    <x v="10"/>
    <x v="394"/>
    <x v="394"/>
    <x v="365"/>
    <x v="385"/>
  </r>
  <r>
    <s v="FI_YC_Derived"/>
    <x v="10"/>
    <x v="349"/>
    <x v="349"/>
    <x v="349"/>
    <x v="340"/>
  </r>
  <r>
    <s v="FI_YC_Derived"/>
    <x v="10"/>
    <x v="395"/>
    <x v="395"/>
    <x v="366"/>
    <x v="386"/>
  </r>
  <r>
    <s v="Financial_Indices"/>
    <x v="11"/>
    <x v="0"/>
    <x v="0"/>
    <x v="0"/>
    <x v="0"/>
  </r>
  <r>
    <s v="Financial_Indices"/>
    <x v="11"/>
    <x v="1"/>
    <x v="1"/>
    <x v="1"/>
    <x v="1"/>
  </r>
  <r>
    <s v="Financial_Indices"/>
    <x v="11"/>
    <x v="2"/>
    <x v="2"/>
    <x v="2"/>
    <x v="2"/>
  </r>
  <r>
    <s v="Financial_Indices"/>
    <x v="11"/>
    <x v="142"/>
    <x v="142"/>
    <x v="142"/>
    <x v="138"/>
  </r>
  <r>
    <s v="Financial_Indices"/>
    <x v="11"/>
    <x v="4"/>
    <x v="4"/>
    <x v="4"/>
    <x v="4"/>
  </r>
  <r>
    <s v="Financial_Indices"/>
    <x v="11"/>
    <x v="5"/>
    <x v="5"/>
    <x v="5"/>
    <x v="5"/>
  </r>
  <r>
    <s v="Financial_Indices"/>
    <x v="11"/>
    <x v="6"/>
    <x v="6"/>
    <x v="6"/>
    <x v="6"/>
  </r>
  <r>
    <s v="Financial_Indices"/>
    <x v="11"/>
    <x v="10"/>
    <x v="10"/>
    <x v="10"/>
    <x v="10"/>
  </r>
  <r>
    <s v="Financial_Indices"/>
    <x v="11"/>
    <x v="396"/>
    <x v="396"/>
    <x v="367"/>
    <x v="387"/>
  </r>
  <r>
    <s v="Financial_Indices"/>
    <x v="11"/>
    <x v="397"/>
    <x v="397"/>
    <x v="368"/>
    <x v="388"/>
  </r>
  <r>
    <s v="Financial_Indices"/>
    <x v="11"/>
    <x v="268"/>
    <x v="268"/>
    <x v="268"/>
    <x v="263"/>
  </r>
  <r>
    <s v="Financial_Indices"/>
    <x v="11"/>
    <x v="14"/>
    <x v="14"/>
    <x v="14"/>
    <x v="14"/>
  </r>
  <r>
    <s v="Financial_Indices"/>
    <x v="11"/>
    <x v="15"/>
    <x v="15"/>
    <x v="15"/>
    <x v="15"/>
  </r>
  <r>
    <s v="Financial_Indices"/>
    <x v="11"/>
    <x v="16"/>
    <x v="16"/>
    <x v="16"/>
    <x v="16"/>
  </r>
  <r>
    <s v="Financial_Indices"/>
    <x v="11"/>
    <x v="17"/>
    <x v="17"/>
    <x v="17"/>
    <x v="17"/>
  </r>
  <r>
    <s v="Financial_Indices"/>
    <x v="11"/>
    <x v="18"/>
    <x v="18"/>
    <x v="18"/>
    <x v="18"/>
  </r>
  <r>
    <s v="Financial_Indices"/>
    <x v="11"/>
    <x v="19"/>
    <x v="19"/>
    <x v="19"/>
    <x v="19"/>
  </r>
  <r>
    <s v="Financial_Indices"/>
    <x v="11"/>
    <x v="20"/>
    <x v="20"/>
    <x v="20"/>
    <x v="20"/>
  </r>
  <r>
    <s v="Financial_Indices"/>
    <x v="11"/>
    <x v="21"/>
    <x v="21"/>
    <x v="21"/>
    <x v="21"/>
  </r>
  <r>
    <s v="Financial_Indices"/>
    <x v="11"/>
    <x v="22"/>
    <x v="22"/>
    <x v="22"/>
    <x v="22"/>
  </r>
  <r>
    <s v="Financial_Indices"/>
    <x v="11"/>
    <x v="29"/>
    <x v="29"/>
    <x v="29"/>
    <x v="29"/>
  </r>
  <r>
    <s v="Financial_Indices"/>
    <x v="11"/>
    <x v="30"/>
    <x v="30"/>
    <x v="30"/>
    <x v="30"/>
  </r>
  <r>
    <s v="Financial_Indices"/>
    <x v="11"/>
    <x v="33"/>
    <x v="33"/>
    <x v="33"/>
    <x v="33"/>
  </r>
  <r>
    <s v="Financial_Indices"/>
    <x v="11"/>
    <x v="220"/>
    <x v="220"/>
    <x v="220"/>
    <x v="215"/>
  </r>
  <r>
    <s v="Financial_Indices"/>
    <x v="11"/>
    <x v="64"/>
    <x v="64"/>
    <x v="64"/>
    <x v="64"/>
  </r>
  <r>
    <s v="Financial_Indices"/>
    <x v="11"/>
    <x v="398"/>
    <x v="398"/>
    <x v="369"/>
    <x v="389"/>
  </r>
  <r>
    <s v="Financial_Indices"/>
    <x v="11"/>
    <x v="399"/>
    <x v="399"/>
    <x v="370"/>
    <x v="390"/>
  </r>
  <r>
    <s v="Financial_Indices"/>
    <x v="11"/>
    <x v="400"/>
    <x v="400"/>
    <x v="371"/>
    <x v="391"/>
  </r>
  <r>
    <s v="Financial_Indices"/>
    <x v="11"/>
    <x v="401"/>
    <x v="401"/>
    <x v="372"/>
    <x v="392"/>
  </r>
  <r>
    <s v="Financial_Indices"/>
    <x v="11"/>
    <x v="402"/>
    <x v="402"/>
    <x v="373"/>
    <x v="393"/>
  </r>
  <r>
    <s v="Financial_Indices"/>
    <x v="11"/>
    <x v="403"/>
    <x v="403"/>
    <x v="374"/>
    <x v="394"/>
  </r>
  <r>
    <s v="Financial_Indices"/>
    <x v="11"/>
    <x v="404"/>
    <x v="404"/>
    <x v="375"/>
    <x v="395"/>
  </r>
  <r>
    <s v="Financial_Indices"/>
    <x v="11"/>
    <x v="405"/>
    <x v="405"/>
    <x v="376"/>
    <x v="396"/>
  </r>
  <r>
    <s v="Financial_Indices"/>
    <x v="11"/>
    <x v="406"/>
    <x v="406"/>
    <x v="377"/>
    <x v="397"/>
  </r>
  <r>
    <s v="Financial_Indices"/>
    <x v="11"/>
    <x v="407"/>
    <x v="407"/>
    <x v="378"/>
    <x v="398"/>
  </r>
  <r>
    <s v="Financial_Indices"/>
    <x v="11"/>
    <x v="408"/>
    <x v="408"/>
    <x v="379"/>
    <x v="399"/>
  </r>
  <r>
    <s v="Financial_Indices"/>
    <x v="11"/>
    <x v="409"/>
    <x v="409"/>
    <x v="380"/>
    <x v="400"/>
  </r>
  <r>
    <s v="Financial_Indices"/>
    <x v="11"/>
    <x v="410"/>
    <x v="258"/>
    <x v="381"/>
    <x v="401"/>
  </r>
  <r>
    <s v="FX_Baskets"/>
    <x v="12"/>
    <x v="0"/>
    <x v="0"/>
    <x v="0"/>
    <x v="0"/>
  </r>
  <r>
    <s v="FX_Baskets"/>
    <x v="12"/>
    <x v="1"/>
    <x v="1"/>
    <x v="1"/>
    <x v="1"/>
  </r>
  <r>
    <s v="FX_Baskets"/>
    <x v="12"/>
    <x v="4"/>
    <x v="4"/>
    <x v="4"/>
    <x v="4"/>
  </r>
  <r>
    <s v="FX_Baskets"/>
    <x v="12"/>
    <x v="5"/>
    <x v="5"/>
    <x v="5"/>
    <x v="5"/>
  </r>
  <r>
    <s v="FX_Baskets"/>
    <x v="12"/>
    <x v="6"/>
    <x v="6"/>
    <x v="6"/>
    <x v="6"/>
  </r>
  <r>
    <s v="FX_Baskets"/>
    <x v="12"/>
    <x v="7"/>
    <x v="7"/>
    <x v="7"/>
    <x v="7"/>
  </r>
  <r>
    <s v="FX_Baskets"/>
    <x v="12"/>
    <x v="8"/>
    <x v="8"/>
    <x v="8"/>
    <x v="8"/>
  </r>
  <r>
    <s v="FX_Baskets"/>
    <x v="12"/>
    <x v="9"/>
    <x v="9"/>
    <x v="9"/>
    <x v="9"/>
  </r>
  <r>
    <s v="FX_Baskets"/>
    <x v="12"/>
    <x v="14"/>
    <x v="14"/>
    <x v="14"/>
    <x v="14"/>
  </r>
  <r>
    <s v="FX_Baskets"/>
    <x v="12"/>
    <x v="15"/>
    <x v="15"/>
    <x v="15"/>
    <x v="15"/>
  </r>
  <r>
    <s v="FX_Baskets"/>
    <x v="12"/>
    <x v="16"/>
    <x v="16"/>
    <x v="16"/>
    <x v="16"/>
  </r>
  <r>
    <s v="FX_Baskets"/>
    <x v="12"/>
    <x v="17"/>
    <x v="17"/>
    <x v="17"/>
    <x v="17"/>
  </r>
  <r>
    <s v="FX_Baskets"/>
    <x v="12"/>
    <x v="177"/>
    <x v="177"/>
    <x v="177"/>
    <x v="173"/>
  </r>
  <r>
    <s v="FX_Baskets"/>
    <x v="12"/>
    <x v="18"/>
    <x v="18"/>
    <x v="18"/>
    <x v="18"/>
  </r>
  <r>
    <s v="FX_Baskets"/>
    <x v="12"/>
    <x v="19"/>
    <x v="19"/>
    <x v="19"/>
    <x v="19"/>
  </r>
  <r>
    <s v="FX_Baskets"/>
    <x v="12"/>
    <x v="178"/>
    <x v="178"/>
    <x v="178"/>
    <x v="174"/>
  </r>
  <r>
    <s v="FX_Baskets"/>
    <x v="12"/>
    <x v="179"/>
    <x v="179"/>
    <x v="179"/>
    <x v="175"/>
  </r>
  <r>
    <s v="FX_Baskets"/>
    <x v="12"/>
    <x v="411"/>
    <x v="410"/>
    <x v="382"/>
    <x v="402"/>
  </r>
  <r>
    <s v="FX_Baskets"/>
    <x v="12"/>
    <x v="20"/>
    <x v="20"/>
    <x v="20"/>
    <x v="20"/>
  </r>
  <r>
    <s v="FX_Baskets"/>
    <x v="12"/>
    <x v="412"/>
    <x v="411"/>
    <x v="383"/>
    <x v="403"/>
  </r>
  <r>
    <s v="FX_Baskets"/>
    <x v="12"/>
    <x v="413"/>
    <x v="412"/>
    <x v="384"/>
    <x v="404"/>
  </r>
  <r>
    <s v="FX_Baskets"/>
    <x v="12"/>
    <x v="21"/>
    <x v="21"/>
    <x v="21"/>
    <x v="21"/>
  </r>
  <r>
    <s v="FX_Baskets"/>
    <x v="12"/>
    <x v="414"/>
    <x v="413"/>
    <x v="385"/>
    <x v="405"/>
  </r>
  <r>
    <s v="FX_Baskets"/>
    <x v="12"/>
    <x v="415"/>
    <x v="414"/>
    <x v="386"/>
    <x v="406"/>
  </r>
  <r>
    <s v="FX_Baskets"/>
    <x v="12"/>
    <x v="416"/>
    <x v="415"/>
    <x v="387"/>
    <x v="407"/>
  </r>
  <r>
    <s v="FX_Baskets"/>
    <x v="12"/>
    <x v="417"/>
    <x v="416"/>
    <x v="388"/>
    <x v="408"/>
  </r>
  <r>
    <s v="FX_Baskets"/>
    <x v="12"/>
    <x v="23"/>
    <x v="23"/>
    <x v="23"/>
    <x v="23"/>
  </r>
  <r>
    <s v="FX_Baskets"/>
    <x v="12"/>
    <x v="418"/>
    <x v="417"/>
    <x v="389"/>
    <x v="409"/>
  </r>
  <r>
    <s v="FX_Baskets"/>
    <x v="12"/>
    <x v="419"/>
    <x v="418"/>
    <x v="390"/>
    <x v="410"/>
  </r>
  <r>
    <s v="FX_Baskets"/>
    <x v="12"/>
    <x v="420"/>
    <x v="419"/>
    <x v="391"/>
    <x v="411"/>
  </r>
  <r>
    <s v="FX_Baskets"/>
    <x v="12"/>
    <x v="421"/>
    <x v="420"/>
    <x v="392"/>
    <x v="412"/>
  </r>
  <r>
    <s v="FX_Baskets"/>
    <x v="12"/>
    <x v="422"/>
    <x v="421"/>
    <x v="393"/>
    <x v="413"/>
  </r>
  <r>
    <s v="FX_Baskets"/>
    <x v="12"/>
    <x v="423"/>
    <x v="422"/>
    <x v="394"/>
    <x v="414"/>
  </r>
  <r>
    <s v="FX_Baskets"/>
    <x v="12"/>
    <x v="424"/>
    <x v="423"/>
    <x v="395"/>
    <x v="415"/>
  </r>
  <r>
    <s v="FX_Baskets"/>
    <x v="12"/>
    <x v="425"/>
    <x v="424"/>
    <x v="396"/>
    <x v="416"/>
  </r>
  <r>
    <s v="FX_Baskets"/>
    <x v="12"/>
    <x v="426"/>
    <x v="425"/>
    <x v="397"/>
    <x v="417"/>
  </r>
  <r>
    <s v="FX_Baskets"/>
    <x v="12"/>
    <x v="427"/>
    <x v="426"/>
    <x v="398"/>
    <x v="418"/>
  </r>
  <r>
    <s v="FX_Baskets"/>
    <x v="12"/>
    <x v="428"/>
    <x v="427"/>
    <x v="399"/>
    <x v="419"/>
  </r>
  <r>
    <s v="FX_Baskets"/>
    <x v="12"/>
    <x v="429"/>
    <x v="428"/>
    <x v="400"/>
    <x v="420"/>
  </r>
  <r>
    <s v="FX_Baskets"/>
    <x v="12"/>
    <x v="430"/>
    <x v="429"/>
    <x v="401"/>
    <x v="421"/>
  </r>
  <r>
    <s v="FX_Baskets"/>
    <x v="12"/>
    <x v="431"/>
    <x v="430"/>
    <x v="402"/>
    <x v="422"/>
  </r>
  <r>
    <s v="FX_Baskets"/>
    <x v="12"/>
    <x v="432"/>
    <x v="431"/>
    <x v="403"/>
    <x v="423"/>
  </r>
  <r>
    <s v="FX_Baskets"/>
    <x v="12"/>
    <x v="433"/>
    <x v="432"/>
    <x v="404"/>
    <x v="424"/>
  </r>
  <r>
    <s v="FX_Baskets"/>
    <x v="12"/>
    <x v="434"/>
    <x v="433"/>
    <x v="405"/>
    <x v="425"/>
  </r>
  <r>
    <s v="FX_Baskets"/>
    <x v="12"/>
    <x v="435"/>
    <x v="434"/>
    <x v="406"/>
    <x v="426"/>
  </r>
  <r>
    <s v="FX_Baskets"/>
    <x v="12"/>
    <x v="436"/>
    <x v="435"/>
    <x v="407"/>
    <x v="427"/>
  </r>
  <r>
    <s v="FX_Baskets"/>
    <x v="12"/>
    <x v="437"/>
    <x v="436"/>
    <x v="408"/>
    <x v="428"/>
  </r>
  <r>
    <s v="FX_Baskets"/>
    <x v="12"/>
    <x v="438"/>
    <x v="437"/>
    <x v="409"/>
    <x v="429"/>
  </r>
  <r>
    <s v="FX_Baskets"/>
    <x v="12"/>
    <x v="439"/>
    <x v="438"/>
    <x v="410"/>
    <x v="430"/>
  </r>
  <r>
    <s v="FX_Baskets"/>
    <x v="12"/>
    <x v="440"/>
    <x v="439"/>
    <x v="411"/>
    <x v="431"/>
  </r>
  <r>
    <s v="FX_Baskets"/>
    <x v="12"/>
    <x v="441"/>
    <x v="440"/>
    <x v="412"/>
    <x v="432"/>
  </r>
  <r>
    <s v="FX_Baskets"/>
    <x v="12"/>
    <x v="442"/>
    <x v="441"/>
    <x v="413"/>
    <x v="433"/>
  </r>
  <r>
    <s v="FX_Baskets"/>
    <x v="12"/>
    <x v="443"/>
    <x v="442"/>
    <x v="414"/>
    <x v="434"/>
  </r>
  <r>
    <s v="FX_Baskets"/>
    <x v="12"/>
    <x v="444"/>
    <x v="443"/>
    <x v="415"/>
    <x v="435"/>
  </r>
  <r>
    <s v="FX_Baskets"/>
    <x v="12"/>
    <x v="445"/>
    <x v="444"/>
    <x v="416"/>
    <x v="436"/>
  </r>
  <r>
    <s v="FX_Baskets"/>
    <x v="12"/>
    <x v="446"/>
    <x v="445"/>
    <x v="417"/>
    <x v="437"/>
  </r>
  <r>
    <s v="FX_Baskets"/>
    <x v="12"/>
    <x v="447"/>
    <x v="446"/>
    <x v="418"/>
    <x v="438"/>
  </r>
  <r>
    <s v="FX_Baskets"/>
    <x v="12"/>
    <x v="448"/>
    <x v="447"/>
    <x v="419"/>
    <x v="439"/>
  </r>
  <r>
    <s v="FX_Baskets"/>
    <x v="12"/>
    <x v="449"/>
    <x v="448"/>
    <x v="420"/>
    <x v="440"/>
  </r>
  <r>
    <s v="FX_Baskets"/>
    <x v="12"/>
    <x v="450"/>
    <x v="449"/>
    <x v="421"/>
    <x v="441"/>
  </r>
  <r>
    <s v="FX_Baskets"/>
    <x v="12"/>
    <x v="451"/>
    <x v="450"/>
    <x v="422"/>
    <x v="442"/>
  </r>
  <r>
    <s v="FX_Baskets"/>
    <x v="12"/>
    <x v="452"/>
    <x v="451"/>
    <x v="423"/>
    <x v="443"/>
  </r>
  <r>
    <s v="FX_Baskets"/>
    <x v="12"/>
    <x v="453"/>
    <x v="452"/>
    <x v="424"/>
    <x v="444"/>
  </r>
  <r>
    <s v="FX_Baskets"/>
    <x v="12"/>
    <x v="454"/>
    <x v="453"/>
    <x v="425"/>
    <x v="445"/>
  </r>
  <r>
    <s v="FX_Baskets"/>
    <x v="12"/>
    <x v="455"/>
    <x v="454"/>
    <x v="426"/>
    <x v="446"/>
  </r>
  <r>
    <s v="FX_FIX"/>
    <x v="13"/>
    <x v="0"/>
    <x v="0"/>
    <x v="0"/>
    <x v="0"/>
  </r>
  <r>
    <s v="FX_FIX"/>
    <x v="13"/>
    <x v="1"/>
    <x v="1"/>
    <x v="1"/>
    <x v="1"/>
  </r>
  <r>
    <s v="FX_FIX"/>
    <x v="13"/>
    <x v="4"/>
    <x v="4"/>
    <x v="4"/>
    <x v="4"/>
  </r>
  <r>
    <s v="FX_FIX"/>
    <x v="13"/>
    <x v="5"/>
    <x v="5"/>
    <x v="5"/>
    <x v="5"/>
  </r>
  <r>
    <s v="FX_FIX"/>
    <x v="13"/>
    <x v="6"/>
    <x v="6"/>
    <x v="6"/>
    <x v="6"/>
  </r>
  <r>
    <s v="FX_FIX"/>
    <x v="13"/>
    <x v="7"/>
    <x v="7"/>
    <x v="7"/>
    <x v="7"/>
  </r>
  <r>
    <s v="FX_FIX"/>
    <x v="13"/>
    <x v="8"/>
    <x v="8"/>
    <x v="8"/>
    <x v="8"/>
  </r>
  <r>
    <s v="FX_FIX"/>
    <x v="13"/>
    <x v="9"/>
    <x v="9"/>
    <x v="9"/>
    <x v="9"/>
  </r>
  <r>
    <s v="FX_FIX"/>
    <x v="13"/>
    <x v="163"/>
    <x v="163"/>
    <x v="163"/>
    <x v="159"/>
  </r>
  <r>
    <s v="FX_FIX"/>
    <x v="13"/>
    <x v="164"/>
    <x v="164"/>
    <x v="164"/>
    <x v="160"/>
  </r>
  <r>
    <s v="FX_FIX"/>
    <x v="13"/>
    <x v="456"/>
    <x v="455"/>
    <x v="427"/>
    <x v="447"/>
  </r>
  <r>
    <s v="FX_FIX"/>
    <x v="13"/>
    <x v="14"/>
    <x v="14"/>
    <x v="14"/>
    <x v="14"/>
  </r>
  <r>
    <s v="FX_FIX"/>
    <x v="13"/>
    <x v="15"/>
    <x v="15"/>
    <x v="15"/>
    <x v="15"/>
  </r>
  <r>
    <s v="FX_FIX"/>
    <x v="13"/>
    <x v="16"/>
    <x v="16"/>
    <x v="16"/>
    <x v="16"/>
  </r>
  <r>
    <s v="FX_FIX"/>
    <x v="13"/>
    <x v="177"/>
    <x v="177"/>
    <x v="177"/>
    <x v="173"/>
  </r>
  <r>
    <s v="FX_FIX"/>
    <x v="13"/>
    <x v="178"/>
    <x v="178"/>
    <x v="178"/>
    <x v="174"/>
  </r>
  <r>
    <s v="FX_FIX"/>
    <x v="13"/>
    <x v="179"/>
    <x v="179"/>
    <x v="179"/>
    <x v="175"/>
  </r>
  <r>
    <s v="FX_FIX"/>
    <x v="13"/>
    <x v="411"/>
    <x v="410"/>
    <x v="382"/>
    <x v="402"/>
  </r>
  <r>
    <s v="FX_FIX"/>
    <x v="13"/>
    <x v="20"/>
    <x v="20"/>
    <x v="20"/>
    <x v="20"/>
  </r>
  <r>
    <s v="FX_FIX"/>
    <x v="13"/>
    <x v="412"/>
    <x v="411"/>
    <x v="383"/>
    <x v="403"/>
  </r>
  <r>
    <s v="FX_FIX"/>
    <x v="13"/>
    <x v="413"/>
    <x v="412"/>
    <x v="384"/>
    <x v="404"/>
  </r>
  <r>
    <s v="FX_FIX"/>
    <x v="13"/>
    <x v="414"/>
    <x v="413"/>
    <x v="385"/>
    <x v="405"/>
  </r>
  <r>
    <s v="FX_FIX"/>
    <x v="13"/>
    <x v="415"/>
    <x v="414"/>
    <x v="386"/>
    <x v="406"/>
  </r>
  <r>
    <s v="FX_FIX"/>
    <x v="13"/>
    <x v="416"/>
    <x v="415"/>
    <x v="387"/>
    <x v="407"/>
  </r>
  <r>
    <s v="FX_FIX"/>
    <x v="13"/>
    <x v="417"/>
    <x v="416"/>
    <x v="388"/>
    <x v="408"/>
  </r>
  <r>
    <s v="FX_FIX"/>
    <x v="13"/>
    <x v="23"/>
    <x v="23"/>
    <x v="23"/>
    <x v="23"/>
  </r>
  <r>
    <s v="FX_FIX"/>
    <x v="13"/>
    <x v="444"/>
    <x v="443"/>
    <x v="415"/>
    <x v="435"/>
  </r>
  <r>
    <s v="FX_FIX"/>
    <x v="13"/>
    <x v="457"/>
    <x v="456"/>
    <x v="428"/>
    <x v="448"/>
  </r>
  <r>
    <s v="FX_FWD_and_ND_FWD"/>
    <x v="14"/>
    <x v="0"/>
    <x v="0"/>
    <x v="0"/>
    <x v="0"/>
  </r>
  <r>
    <s v="FX_FWD_and_ND_FWD"/>
    <x v="14"/>
    <x v="1"/>
    <x v="1"/>
    <x v="1"/>
    <x v="1"/>
  </r>
  <r>
    <s v="FX_FWD_and_ND_FWD"/>
    <x v="14"/>
    <x v="4"/>
    <x v="4"/>
    <x v="4"/>
    <x v="4"/>
  </r>
  <r>
    <s v="FX_FWD_and_ND_FWD"/>
    <x v="14"/>
    <x v="5"/>
    <x v="5"/>
    <x v="5"/>
    <x v="5"/>
  </r>
  <r>
    <s v="FX_FWD_and_ND_FWD"/>
    <x v="14"/>
    <x v="6"/>
    <x v="6"/>
    <x v="6"/>
    <x v="6"/>
  </r>
  <r>
    <s v="FX_FWD_and_ND_FWD"/>
    <x v="14"/>
    <x v="7"/>
    <x v="7"/>
    <x v="7"/>
    <x v="7"/>
  </r>
  <r>
    <s v="FX_FWD_and_ND_FWD"/>
    <x v="14"/>
    <x v="8"/>
    <x v="8"/>
    <x v="8"/>
    <x v="8"/>
  </r>
  <r>
    <s v="FX_FWD_and_ND_FWD"/>
    <x v="14"/>
    <x v="9"/>
    <x v="9"/>
    <x v="9"/>
    <x v="9"/>
  </r>
  <r>
    <s v="FX_FWD_and_ND_FWD"/>
    <x v="14"/>
    <x v="14"/>
    <x v="14"/>
    <x v="14"/>
    <x v="14"/>
  </r>
  <r>
    <s v="FX_FWD_and_ND_FWD"/>
    <x v="14"/>
    <x v="15"/>
    <x v="15"/>
    <x v="15"/>
    <x v="15"/>
  </r>
  <r>
    <s v="FX_FWD_and_ND_FWD"/>
    <x v="14"/>
    <x v="16"/>
    <x v="16"/>
    <x v="16"/>
    <x v="16"/>
  </r>
  <r>
    <s v="FX_FWD_and_ND_FWD"/>
    <x v="14"/>
    <x v="17"/>
    <x v="17"/>
    <x v="17"/>
    <x v="17"/>
  </r>
  <r>
    <s v="FX_FWD_and_ND_FWD"/>
    <x v="14"/>
    <x v="177"/>
    <x v="177"/>
    <x v="177"/>
    <x v="173"/>
  </r>
  <r>
    <s v="FX_FWD_and_ND_FWD"/>
    <x v="14"/>
    <x v="18"/>
    <x v="18"/>
    <x v="18"/>
    <x v="18"/>
  </r>
  <r>
    <s v="FX_FWD_and_ND_FWD"/>
    <x v="14"/>
    <x v="19"/>
    <x v="19"/>
    <x v="19"/>
    <x v="19"/>
  </r>
  <r>
    <s v="FX_FWD_and_ND_FWD"/>
    <x v="14"/>
    <x v="178"/>
    <x v="178"/>
    <x v="178"/>
    <x v="174"/>
  </r>
  <r>
    <s v="FX_FWD_and_ND_FWD"/>
    <x v="14"/>
    <x v="179"/>
    <x v="179"/>
    <x v="179"/>
    <x v="175"/>
  </r>
  <r>
    <s v="FX_FWD_and_ND_FWD"/>
    <x v="14"/>
    <x v="411"/>
    <x v="410"/>
    <x v="382"/>
    <x v="402"/>
  </r>
  <r>
    <s v="FX_FWD_and_ND_FWD"/>
    <x v="14"/>
    <x v="20"/>
    <x v="20"/>
    <x v="20"/>
    <x v="20"/>
  </r>
  <r>
    <s v="FX_FWD_and_ND_FWD"/>
    <x v="14"/>
    <x v="412"/>
    <x v="411"/>
    <x v="383"/>
    <x v="403"/>
  </r>
  <r>
    <s v="FX_FWD_and_ND_FWD"/>
    <x v="14"/>
    <x v="413"/>
    <x v="412"/>
    <x v="384"/>
    <x v="404"/>
  </r>
  <r>
    <s v="FX_FWD_and_ND_FWD"/>
    <x v="14"/>
    <x v="21"/>
    <x v="21"/>
    <x v="21"/>
    <x v="21"/>
  </r>
  <r>
    <s v="FX_FWD_and_ND_FWD"/>
    <x v="14"/>
    <x v="414"/>
    <x v="413"/>
    <x v="385"/>
    <x v="405"/>
  </r>
  <r>
    <s v="FX_FWD_and_ND_FWD"/>
    <x v="14"/>
    <x v="415"/>
    <x v="414"/>
    <x v="386"/>
    <x v="406"/>
  </r>
  <r>
    <s v="FX_FWD_and_ND_FWD"/>
    <x v="14"/>
    <x v="416"/>
    <x v="415"/>
    <x v="387"/>
    <x v="407"/>
  </r>
  <r>
    <s v="FX_FWD_and_ND_FWD"/>
    <x v="14"/>
    <x v="417"/>
    <x v="416"/>
    <x v="388"/>
    <x v="408"/>
  </r>
  <r>
    <s v="FX_FWD_and_ND_FWD"/>
    <x v="14"/>
    <x v="23"/>
    <x v="23"/>
    <x v="23"/>
    <x v="23"/>
  </r>
  <r>
    <s v="FX_FWD_and_ND_FWD"/>
    <x v="14"/>
    <x v="418"/>
    <x v="417"/>
    <x v="389"/>
    <x v="409"/>
  </r>
  <r>
    <s v="FX_FWD_and_ND_FWD"/>
    <x v="14"/>
    <x v="419"/>
    <x v="418"/>
    <x v="390"/>
    <x v="410"/>
  </r>
  <r>
    <s v="FX_FWD_and_ND_FWD"/>
    <x v="14"/>
    <x v="420"/>
    <x v="419"/>
    <x v="391"/>
    <x v="411"/>
  </r>
  <r>
    <s v="FX_FWD_and_ND_FWD"/>
    <x v="14"/>
    <x v="421"/>
    <x v="420"/>
    <x v="392"/>
    <x v="412"/>
  </r>
  <r>
    <s v="FX_FWD_and_ND_FWD"/>
    <x v="14"/>
    <x v="422"/>
    <x v="421"/>
    <x v="393"/>
    <x v="413"/>
  </r>
  <r>
    <s v="FX_FWD_and_ND_FWD"/>
    <x v="14"/>
    <x v="423"/>
    <x v="422"/>
    <x v="394"/>
    <x v="414"/>
  </r>
  <r>
    <s v="FX_FWD_and_ND_FWD"/>
    <x v="14"/>
    <x v="424"/>
    <x v="423"/>
    <x v="395"/>
    <x v="415"/>
  </r>
  <r>
    <s v="FX_FWD_and_ND_FWD"/>
    <x v="14"/>
    <x v="425"/>
    <x v="424"/>
    <x v="396"/>
    <x v="416"/>
  </r>
  <r>
    <s v="FX_FWD_and_ND_FWD"/>
    <x v="14"/>
    <x v="426"/>
    <x v="425"/>
    <x v="397"/>
    <x v="417"/>
  </r>
  <r>
    <s v="FX_FWD_and_ND_FWD"/>
    <x v="14"/>
    <x v="427"/>
    <x v="426"/>
    <x v="398"/>
    <x v="418"/>
  </r>
  <r>
    <s v="FX_FWD_and_ND_FWD"/>
    <x v="14"/>
    <x v="428"/>
    <x v="427"/>
    <x v="399"/>
    <x v="419"/>
  </r>
  <r>
    <s v="FX_FWD_and_ND_FWD"/>
    <x v="14"/>
    <x v="429"/>
    <x v="428"/>
    <x v="400"/>
    <x v="420"/>
  </r>
  <r>
    <s v="FX_FWD_and_ND_FWD"/>
    <x v="14"/>
    <x v="430"/>
    <x v="429"/>
    <x v="401"/>
    <x v="421"/>
  </r>
  <r>
    <s v="FX_FWD_and_ND_FWD"/>
    <x v="14"/>
    <x v="431"/>
    <x v="430"/>
    <x v="402"/>
    <x v="422"/>
  </r>
  <r>
    <s v="FX_FWD_and_ND_FWD"/>
    <x v="14"/>
    <x v="432"/>
    <x v="431"/>
    <x v="403"/>
    <x v="423"/>
  </r>
  <r>
    <s v="FX_FWD_and_ND_FWD"/>
    <x v="14"/>
    <x v="433"/>
    <x v="432"/>
    <x v="404"/>
    <x v="424"/>
  </r>
  <r>
    <s v="FX_FWD_and_ND_FWD"/>
    <x v="14"/>
    <x v="434"/>
    <x v="433"/>
    <x v="405"/>
    <x v="425"/>
  </r>
  <r>
    <s v="FX_FWD_and_ND_FWD"/>
    <x v="14"/>
    <x v="435"/>
    <x v="434"/>
    <x v="406"/>
    <x v="426"/>
  </r>
  <r>
    <s v="FX_FWD_and_ND_FWD"/>
    <x v="14"/>
    <x v="436"/>
    <x v="435"/>
    <x v="407"/>
    <x v="427"/>
  </r>
  <r>
    <s v="FX_FWD_and_ND_FWD"/>
    <x v="14"/>
    <x v="437"/>
    <x v="436"/>
    <x v="408"/>
    <x v="428"/>
  </r>
  <r>
    <s v="FX_FWD_and_ND_FWD"/>
    <x v="14"/>
    <x v="438"/>
    <x v="437"/>
    <x v="409"/>
    <x v="429"/>
  </r>
  <r>
    <s v="FX_FWD_and_ND_FWD"/>
    <x v="14"/>
    <x v="439"/>
    <x v="438"/>
    <x v="410"/>
    <x v="430"/>
  </r>
  <r>
    <s v="FX_FWD_and_ND_FWD"/>
    <x v="14"/>
    <x v="440"/>
    <x v="439"/>
    <x v="411"/>
    <x v="431"/>
  </r>
  <r>
    <s v="FX_FWD_and_ND_FWD"/>
    <x v="14"/>
    <x v="441"/>
    <x v="440"/>
    <x v="412"/>
    <x v="432"/>
  </r>
  <r>
    <s v="FX_FWD_and_ND_FWD"/>
    <x v="14"/>
    <x v="272"/>
    <x v="272"/>
    <x v="272"/>
    <x v="267"/>
  </r>
  <r>
    <s v="FX_FWD_and_ND_FWD"/>
    <x v="14"/>
    <x v="442"/>
    <x v="441"/>
    <x v="413"/>
    <x v="433"/>
  </r>
  <r>
    <s v="FX_FWD_and_ND_FWD"/>
    <x v="14"/>
    <x v="443"/>
    <x v="442"/>
    <x v="414"/>
    <x v="434"/>
  </r>
  <r>
    <s v="FX_FWD_and_ND_FWD"/>
    <x v="14"/>
    <x v="444"/>
    <x v="443"/>
    <x v="415"/>
    <x v="435"/>
  </r>
  <r>
    <s v="FX_FWD_and_ND_FWD"/>
    <x v="14"/>
    <x v="445"/>
    <x v="444"/>
    <x v="416"/>
    <x v="436"/>
  </r>
  <r>
    <s v="FX_FWD_and_ND_FWD"/>
    <x v="14"/>
    <x v="446"/>
    <x v="445"/>
    <x v="417"/>
    <x v="437"/>
  </r>
  <r>
    <s v="FX_FWD_and_ND_FWD"/>
    <x v="14"/>
    <x v="447"/>
    <x v="446"/>
    <x v="418"/>
    <x v="438"/>
  </r>
  <r>
    <s v="FX_FWD_and_ND_FWD"/>
    <x v="14"/>
    <x v="448"/>
    <x v="447"/>
    <x v="419"/>
    <x v="439"/>
  </r>
  <r>
    <s v="FX_FWD_and_ND_FWD"/>
    <x v="14"/>
    <x v="449"/>
    <x v="448"/>
    <x v="420"/>
    <x v="440"/>
  </r>
  <r>
    <s v="FX_FWD_and_ND_FWD"/>
    <x v="14"/>
    <x v="450"/>
    <x v="449"/>
    <x v="421"/>
    <x v="441"/>
  </r>
  <r>
    <s v="FX_FWD_and_ND_FWD"/>
    <x v="14"/>
    <x v="451"/>
    <x v="450"/>
    <x v="422"/>
    <x v="442"/>
  </r>
  <r>
    <s v="FX_FWD_and_ND_FWD"/>
    <x v="14"/>
    <x v="452"/>
    <x v="451"/>
    <x v="423"/>
    <x v="443"/>
  </r>
  <r>
    <s v="FX_FWD_and_ND_FWD"/>
    <x v="14"/>
    <x v="453"/>
    <x v="452"/>
    <x v="424"/>
    <x v="444"/>
  </r>
  <r>
    <s v="FX_FWD_and_ND_FWD"/>
    <x v="14"/>
    <x v="454"/>
    <x v="453"/>
    <x v="425"/>
    <x v="445"/>
  </r>
  <r>
    <s v="FX_FWD_and_ND_FWD"/>
    <x v="14"/>
    <x v="455"/>
    <x v="454"/>
    <x v="426"/>
    <x v="446"/>
  </r>
  <r>
    <s v="FX_FWD_and_ND_FWD"/>
    <x v="14"/>
    <x v="458"/>
    <x v="457"/>
    <x v="429"/>
    <x v="449"/>
  </r>
  <r>
    <s v="FX_FWD_and_ND_FWD"/>
    <x v="14"/>
    <x v="459"/>
    <x v="458"/>
    <x v="430"/>
    <x v="450"/>
  </r>
  <r>
    <s v="FX_FWD_and_ND_FWD"/>
    <x v="14"/>
    <x v="460"/>
    <x v="459"/>
    <x v="431"/>
    <x v="451"/>
  </r>
  <r>
    <s v="FX_FWD_and_ND_FWD"/>
    <x v="14"/>
    <x v="461"/>
    <x v="460"/>
    <x v="432"/>
    <x v="452"/>
  </r>
  <r>
    <s v="FX_Option_Volatility"/>
    <x v="15"/>
    <x v="0"/>
    <x v="0"/>
    <x v="0"/>
    <x v="0"/>
  </r>
  <r>
    <s v="FX_Option_Volatility"/>
    <x v="15"/>
    <x v="1"/>
    <x v="1"/>
    <x v="1"/>
    <x v="1"/>
  </r>
  <r>
    <s v="FX_Option_Volatility"/>
    <x v="15"/>
    <x v="4"/>
    <x v="4"/>
    <x v="4"/>
    <x v="4"/>
  </r>
  <r>
    <s v="FX_Option_Volatility"/>
    <x v="15"/>
    <x v="5"/>
    <x v="5"/>
    <x v="5"/>
    <x v="5"/>
  </r>
  <r>
    <s v="FX_Option_Volatility"/>
    <x v="15"/>
    <x v="6"/>
    <x v="6"/>
    <x v="6"/>
    <x v="6"/>
  </r>
  <r>
    <s v="FX_Option_Volatility"/>
    <x v="15"/>
    <x v="7"/>
    <x v="7"/>
    <x v="7"/>
    <x v="7"/>
  </r>
  <r>
    <s v="FX_Option_Volatility"/>
    <x v="15"/>
    <x v="8"/>
    <x v="8"/>
    <x v="8"/>
    <x v="8"/>
  </r>
  <r>
    <s v="FX_Option_Volatility"/>
    <x v="15"/>
    <x v="9"/>
    <x v="9"/>
    <x v="9"/>
    <x v="9"/>
  </r>
  <r>
    <s v="FX_Option_Volatility"/>
    <x v="15"/>
    <x v="462"/>
    <x v="461"/>
    <x v="433"/>
    <x v="453"/>
  </r>
  <r>
    <s v="FX_Option_Volatility"/>
    <x v="15"/>
    <x v="463"/>
    <x v="462"/>
    <x v="434"/>
    <x v="454"/>
  </r>
  <r>
    <s v="FX_Option_Volatility"/>
    <x v="15"/>
    <x v="14"/>
    <x v="14"/>
    <x v="14"/>
    <x v="14"/>
  </r>
  <r>
    <s v="FX_Option_Volatility"/>
    <x v="15"/>
    <x v="15"/>
    <x v="15"/>
    <x v="15"/>
    <x v="15"/>
  </r>
  <r>
    <s v="FX_Option_Volatility"/>
    <x v="15"/>
    <x v="16"/>
    <x v="16"/>
    <x v="16"/>
    <x v="16"/>
  </r>
  <r>
    <s v="FX_Option_Volatility"/>
    <x v="15"/>
    <x v="17"/>
    <x v="17"/>
    <x v="17"/>
    <x v="17"/>
  </r>
  <r>
    <s v="FX_Option_Volatility"/>
    <x v="15"/>
    <x v="177"/>
    <x v="177"/>
    <x v="177"/>
    <x v="173"/>
  </r>
  <r>
    <s v="FX_Option_Volatility"/>
    <x v="15"/>
    <x v="18"/>
    <x v="18"/>
    <x v="18"/>
    <x v="18"/>
  </r>
  <r>
    <s v="FX_Option_Volatility"/>
    <x v="15"/>
    <x v="19"/>
    <x v="19"/>
    <x v="19"/>
    <x v="19"/>
  </r>
  <r>
    <s v="FX_Option_Volatility"/>
    <x v="15"/>
    <x v="178"/>
    <x v="178"/>
    <x v="178"/>
    <x v="174"/>
  </r>
  <r>
    <s v="FX_Option_Volatility"/>
    <x v="15"/>
    <x v="179"/>
    <x v="179"/>
    <x v="179"/>
    <x v="175"/>
  </r>
  <r>
    <s v="FX_Option_Volatility"/>
    <x v="15"/>
    <x v="411"/>
    <x v="410"/>
    <x v="382"/>
    <x v="402"/>
  </r>
  <r>
    <s v="FX_Option_Volatility"/>
    <x v="15"/>
    <x v="20"/>
    <x v="20"/>
    <x v="20"/>
    <x v="20"/>
  </r>
  <r>
    <s v="FX_Option_Volatility"/>
    <x v="15"/>
    <x v="412"/>
    <x v="411"/>
    <x v="383"/>
    <x v="403"/>
  </r>
  <r>
    <s v="FX_Option_Volatility"/>
    <x v="15"/>
    <x v="413"/>
    <x v="412"/>
    <x v="384"/>
    <x v="404"/>
  </r>
  <r>
    <s v="FX_Option_Volatility"/>
    <x v="15"/>
    <x v="21"/>
    <x v="21"/>
    <x v="21"/>
    <x v="21"/>
  </r>
  <r>
    <s v="FX_Option_Volatility"/>
    <x v="15"/>
    <x v="414"/>
    <x v="413"/>
    <x v="385"/>
    <x v="405"/>
  </r>
  <r>
    <s v="FX_Option_Volatility"/>
    <x v="15"/>
    <x v="415"/>
    <x v="414"/>
    <x v="386"/>
    <x v="406"/>
  </r>
  <r>
    <s v="FX_Option_Volatility"/>
    <x v="15"/>
    <x v="416"/>
    <x v="415"/>
    <x v="387"/>
    <x v="407"/>
  </r>
  <r>
    <s v="FX_Option_Volatility"/>
    <x v="15"/>
    <x v="417"/>
    <x v="416"/>
    <x v="388"/>
    <x v="408"/>
  </r>
  <r>
    <s v="FX_Option_Volatility"/>
    <x v="15"/>
    <x v="23"/>
    <x v="23"/>
    <x v="23"/>
    <x v="23"/>
  </r>
  <r>
    <s v="FX_Option_Volatility"/>
    <x v="15"/>
    <x v="418"/>
    <x v="417"/>
    <x v="389"/>
    <x v="409"/>
  </r>
  <r>
    <s v="FX_Option_Volatility"/>
    <x v="15"/>
    <x v="419"/>
    <x v="418"/>
    <x v="390"/>
    <x v="410"/>
  </r>
  <r>
    <s v="FX_Option_Volatility"/>
    <x v="15"/>
    <x v="420"/>
    <x v="419"/>
    <x v="391"/>
    <x v="411"/>
  </r>
  <r>
    <s v="FX_Option_Volatility"/>
    <x v="15"/>
    <x v="421"/>
    <x v="420"/>
    <x v="392"/>
    <x v="412"/>
  </r>
  <r>
    <s v="FX_Option_Volatility"/>
    <x v="15"/>
    <x v="422"/>
    <x v="421"/>
    <x v="393"/>
    <x v="413"/>
  </r>
  <r>
    <s v="FX_Option_Volatility"/>
    <x v="15"/>
    <x v="423"/>
    <x v="422"/>
    <x v="394"/>
    <x v="414"/>
  </r>
  <r>
    <s v="FX_Option_Volatility"/>
    <x v="15"/>
    <x v="424"/>
    <x v="423"/>
    <x v="395"/>
    <x v="415"/>
  </r>
  <r>
    <s v="FX_Option_Volatility"/>
    <x v="15"/>
    <x v="425"/>
    <x v="424"/>
    <x v="396"/>
    <x v="416"/>
  </r>
  <r>
    <s v="FX_Option_Volatility"/>
    <x v="15"/>
    <x v="426"/>
    <x v="425"/>
    <x v="397"/>
    <x v="417"/>
  </r>
  <r>
    <s v="FX_Option_Volatility"/>
    <x v="15"/>
    <x v="427"/>
    <x v="426"/>
    <x v="398"/>
    <x v="418"/>
  </r>
  <r>
    <s v="FX_Option_Volatility"/>
    <x v="15"/>
    <x v="428"/>
    <x v="427"/>
    <x v="399"/>
    <x v="419"/>
  </r>
  <r>
    <s v="FX_Option_Volatility"/>
    <x v="15"/>
    <x v="429"/>
    <x v="428"/>
    <x v="400"/>
    <x v="420"/>
  </r>
  <r>
    <s v="FX_Option_Volatility"/>
    <x v="15"/>
    <x v="430"/>
    <x v="429"/>
    <x v="401"/>
    <x v="421"/>
  </r>
  <r>
    <s v="FX_Option_Volatility"/>
    <x v="15"/>
    <x v="431"/>
    <x v="430"/>
    <x v="402"/>
    <x v="422"/>
  </r>
  <r>
    <s v="FX_Option_Volatility"/>
    <x v="15"/>
    <x v="432"/>
    <x v="431"/>
    <x v="403"/>
    <x v="423"/>
  </r>
  <r>
    <s v="FX_Option_Volatility"/>
    <x v="15"/>
    <x v="433"/>
    <x v="432"/>
    <x v="404"/>
    <x v="424"/>
  </r>
  <r>
    <s v="FX_Option_Volatility"/>
    <x v="15"/>
    <x v="434"/>
    <x v="433"/>
    <x v="405"/>
    <x v="425"/>
  </r>
  <r>
    <s v="FX_Option_Volatility"/>
    <x v="15"/>
    <x v="435"/>
    <x v="434"/>
    <x v="406"/>
    <x v="426"/>
  </r>
  <r>
    <s v="FX_Option_Volatility"/>
    <x v="15"/>
    <x v="436"/>
    <x v="435"/>
    <x v="407"/>
    <x v="427"/>
  </r>
  <r>
    <s v="FX_Option_Volatility"/>
    <x v="15"/>
    <x v="437"/>
    <x v="436"/>
    <x v="408"/>
    <x v="428"/>
  </r>
  <r>
    <s v="FX_Option_Volatility"/>
    <x v="15"/>
    <x v="438"/>
    <x v="437"/>
    <x v="409"/>
    <x v="429"/>
  </r>
  <r>
    <s v="FX_Option_Volatility"/>
    <x v="15"/>
    <x v="439"/>
    <x v="438"/>
    <x v="410"/>
    <x v="430"/>
  </r>
  <r>
    <s v="FX_Option_Volatility"/>
    <x v="15"/>
    <x v="440"/>
    <x v="439"/>
    <x v="411"/>
    <x v="431"/>
  </r>
  <r>
    <s v="FX_Option_Volatility"/>
    <x v="15"/>
    <x v="441"/>
    <x v="440"/>
    <x v="412"/>
    <x v="432"/>
  </r>
  <r>
    <s v="FX_Option_Volatility"/>
    <x v="15"/>
    <x v="442"/>
    <x v="441"/>
    <x v="413"/>
    <x v="433"/>
  </r>
  <r>
    <s v="FX_Option_Volatility"/>
    <x v="15"/>
    <x v="443"/>
    <x v="442"/>
    <x v="414"/>
    <x v="434"/>
  </r>
  <r>
    <s v="FX_Option_Volatility"/>
    <x v="15"/>
    <x v="444"/>
    <x v="443"/>
    <x v="415"/>
    <x v="435"/>
  </r>
  <r>
    <s v="FX_Option_Volatility"/>
    <x v="15"/>
    <x v="445"/>
    <x v="444"/>
    <x v="416"/>
    <x v="436"/>
  </r>
  <r>
    <s v="FX_Option_Volatility"/>
    <x v="15"/>
    <x v="446"/>
    <x v="445"/>
    <x v="417"/>
    <x v="437"/>
  </r>
  <r>
    <s v="FX_Option_Volatility"/>
    <x v="15"/>
    <x v="447"/>
    <x v="446"/>
    <x v="418"/>
    <x v="438"/>
  </r>
  <r>
    <s v="FX_Option_Volatility"/>
    <x v="15"/>
    <x v="448"/>
    <x v="447"/>
    <x v="419"/>
    <x v="439"/>
  </r>
  <r>
    <s v="FX_Option_Volatility"/>
    <x v="15"/>
    <x v="449"/>
    <x v="448"/>
    <x v="420"/>
    <x v="440"/>
  </r>
  <r>
    <s v="FX_Option_Volatility"/>
    <x v="15"/>
    <x v="450"/>
    <x v="449"/>
    <x v="421"/>
    <x v="441"/>
  </r>
  <r>
    <s v="FX_Option_Volatility"/>
    <x v="15"/>
    <x v="451"/>
    <x v="450"/>
    <x v="422"/>
    <x v="442"/>
  </r>
  <r>
    <s v="FX_Option_Volatility"/>
    <x v="15"/>
    <x v="452"/>
    <x v="451"/>
    <x v="423"/>
    <x v="443"/>
  </r>
  <r>
    <s v="FX_Option_Volatility"/>
    <x v="15"/>
    <x v="453"/>
    <x v="452"/>
    <x v="424"/>
    <x v="444"/>
  </r>
  <r>
    <s v="FX_Option_Volatility"/>
    <x v="15"/>
    <x v="454"/>
    <x v="453"/>
    <x v="425"/>
    <x v="445"/>
  </r>
  <r>
    <s v="FX_Option_Volatility"/>
    <x v="15"/>
    <x v="455"/>
    <x v="454"/>
    <x v="426"/>
    <x v="446"/>
  </r>
  <r>
    <s v="FX_Option_Volatility"/>
    <x v="15"/>
    <x v="464"/>
    <x v="463"/>
    <x v="435"/>
    <x v="455"/>
  </r>
  <r>
    <s v="FX_Option_Volatility"/>
    <x v="15"/>
    <x v="465"/>
    <x v="464"/>
    <x v="436"/>
    <x v="456"/>
  </r>
  <r>
    <s v="FX_Option_Volatility"/>
    <x v="15"/>
    <x v="466"/>
    <x v="465"/>
    <x v="437"/>
    <x v="457"/>
  </r>
  <r>
    <s v="FX_Option_Volatility"/>
    <x v="15"/>
    <x v="467"/>
    <x v="466"/>
    <x v="438"/>
    <x v="458"/>
  </r>
  <r>
    <s v="FX_Option_Volatility"/>
    <x v="15"/>
    <x v="468"/>
    <x v="467"/>
    <x v="439"/>
    <x v="459"/>
  </r>
  <r>
    <s v="FX_Option_Volatility"/>
    <x v="15"/>
    <x v="469"/>
    <x v="468"/>
    <x v="440"/>
    <x v="460"/>
  </r>
  <r>
    <s v="FX_Option_Volatility"/>
    <x v="15"/>
    <x v="470"/>
    <x v="469"/>
    <x v="441"/>
    <x v="461"/>
  </r>
  <r>
    <s v="FX_Option_Volatility"/>
    <x v="15"/>
    <x v="471"/>
    <x v="470"/>
    <x v="442"/>
    <x v="462"/>
  </r>
  <r>
    <s v="FX_Spot_Cross"/>
    <x v="16"/>
    <x v="0"/>
    <x v="0"/>
    <x v="0"/>
    <x v="0"/>
  </r>
  <r>
    <s v="FX_Spot_Cross"/>
    <x v="16"/>
    <x v="1"/>
    <x v="1"/>
    <x v="1"/>
    <x v="1"/>
  </r>
  <r>
    <s v="FX_Spot_Cross"/>
    <x v="16"/>
    <x v="4"/>
    <x v="4"/>
    <x v="4"/>
    <x v="4"/>
  </r>
  <r>
    <s v="FX_Spot_Cross"/>
    <x v="16"/>
    <x v="5"/>
    <x v="5"/>
    <x v="5"/>
    <x v="5"/>
  </r>
  <r>
    <s v="FX_Spot_Cross"/>
    <x v="16"/>
    <x v="6"/>
    <x v="6"/>
    <x v="6"/>
    <x v="6"/>
  </r>
  <r>
    <s v="FX_Spot_Cross"/>
    <x v="16"/>
    <x v="7"/>
    <x v="7"/>
    <x v="7"/>
    <x v="7"/>
  </r>
  <r>
    <s v="FX_Spot_Cross"/>
    <x v="16"/>
    <x v="8"/>
    <x v="8"/>
    <x v="8"/>
    <x v="8"/>
  </r>
  <r>
    <s v="FX_Spot_Cross"/>
    <x v="16"/>
    <x v="9"/>
    <x v="9"/>
    <x v="9"/>
    <x v="9"/>
  </r>
  <r>
    <s v="FX_Spot_Cross"/>
    <x v="16"/>
    <x v="14"/>
    <x v="14"/>
    <x v="14"/>
    <x v="14"/>
  </r>
  <r>
    <s v="FX_Spot_Cross"/>
    <x v="16"/>
    <x v="15"/>
    <x v="15"/>
    <x v="15"/>
    <x v="15"/>
  </r>
  <r>
    <s v="FX_Spot_Cross"/>
    <x v="16"/>
    <x v="16"/>
    <x v="16"/>
    <x v="16"/>
    <x v="16"/>
  </r>
  <r>
    <s v="FX_Spot_Cross"/>
    <x v="16"/>
    <x v="17"/>
    <x v="17"/>
    <x v="17"/>
    <x v="17"/>
  </r>
  <r>
    <s v="FX_Spot_Cross"/>
    <x v="16"/>
    <x v="177"/>
    <x v="177"/>
    <x v="177"/>
    <x v="173"/>
  </r>
  <r>
    <s v="FX_Spot_Cross"/>
    <x v="16"/>
    <x v="18"/>
    <x v="18"/>
    <x v="18"/>
    <x v="18"/>
  </r>
  <r>
    <s v="FX_Spot_Cross"/>
    <x v="16"/>
    <x v="19"/>
    <x v="19"/>
    <x v="19"/>
    <x v="19"/>
  </r>
  <r>
    <s v="FX_Spot_Cross"/>
    <x v="16"/>
    <x v="178"/>
    <x v="178"/>
    <x v="178"/>
    <x v="174"/>
  </r>
  <r>
    <s v="FX_Spot_Cross"/>
    <x v="16"/>
    <x v="179"/>
    <x v="179"/>
    <x v="179"/>
    <x v="175"/>
  </r>
  <r>
    <s v="FX_Spot_Cross"/>
    <x v="16"/>
    <x v="411"/>
    <x v="410"/>
    <x v="382"/>
    <x v="402"/>
  </r>
  <r>
    <s v="FX_Spot_Cross"/>
    <x v="16"/>
    <x v="20"/>
    <x v="20"/>
    <x v="20"/>
    <x v="20"/>
  </r>
  <r>
    <s v="FX_Spot_Cross"/>
    <x v="16"/>
    <x v="412"/>
    <x v="411"/>
    <x v="383"/>
    <x v="403"/>
  </r>
  <r>
    <s v="FX_Spot_Cross"/>
    <x v="16"/>
    <x v="413"/>
    <x v="412"/>
    <x v="384"/>
    <x v="404"/>
  </r>
  <r>
    <s v="FX_Spot_Cross"/>
    <x v="16"/>
    <x v="21"/>
    <x v="21"/>
    <x v="21"/>
    <x v="21"/>
  </r>
  <r>
    <s v="FX_Spot_Cross"/>
    <x v="16"/>
    <x v="414"/>
    <x v="413"/>
    <x v="385"/>
    <x v="405"/>
  </r>
  <r>
    <s v="FX_Spot_Cross"/>
    <x v="16"/>
    <x v="415"/>
    <x v="414"/>
    <x v="386"/>
    <x v="406"/>
  </r>
  <r>
    <s v="FX_Spot_Cross"/>
    <x v="16"/>
    <x v="416"/>
    <x v="415"/>
    <x v="387"/>
    <x v="407"/>
  </r>
  <r>
    <s v="FX_Spot_Cross"/>
    <x v="16"/>
    <x v="417"/>
    <x v="416"/>
    <x v="388"/>
    <x v="408"/>
  </r>
  <r>
    <s v="FX_Spot_Cross"/>
    <x v="16"/>
    <x v="23"/>
    <x v="23"/>
    <x v="23"/>
    <x v="23"/>
  </r>
  <r>
    <s v="FX_Spot_Cross"/>
    <x v="16"/>
    <x v="418"/>
    <x v="417"/>
    <x v="389"/>
    <x v="409"/>
  </r>
  <r>
    <s v="FX_Spot_Cross"/>
    <x v="16"/>
    <x v="419"/>
    <x v="418"/>
    <x v="390"/>
    <x v="410"/>
  </r>
  <r>
    <s v="FX_Spot_Cross"/>
    <x v="16"/>
    <x v="420"/>
    <x v="419"/>
    <x v="391"/>
    <x v="411"/>
  </r>
  <r>
    <s v="FX_Spot_Cross"/>
    <x v="16"/>
    <x v="421"/>
    <x v="420"/>
    <x v="392"/>
    <x v="412"/>
  </r>
  <r>
    <s v="FX_Spot_Cross"/>
    <x v="16"/>
    <x v="422"/>
    <x v="421"/>
    <x v="393"/>
    <x v="413"/>
  </r>
  <r>
    <s v="FX_Spot_Cross"/>
    <x v="16"/>
    <x v="423"/>
    <x v="422"/>
    <x v="394"/>
    <x v="414"/>
  </r>
  <r>
    <s v="FX_Spot_Cross"/>
    <x v="16"/>
    <x v="424"/>
    <x v="423"/>
    <x v="395"/>
    <x v="415"/>
  </r>
  <r>
    <s v="FX_Spot_Cross"/>
    <x v="16"/>
    <x v="425"/>
    <x v="424"/>
    <x v="396"/>
    <x v="416"/>
  </r>
  <r>
    <s v="FX_Spot_Cross"/>
    <x v="16"/>
    <x v="426"/>
    <x v="425"/>
    <x v="397"/>
    <x v="417"/>
  </r>
  <r>
    <s v="FX_Spot_Cross"/>
    <x v="16"/>
    <x v="427"/>
    <x v="426"/>
    <x v="398"/>
    <x v="418"/>
  </r>
  <r>
    <s v="FX_Spot_Cross"/>
    <x v="16"/>
    <x v="428"/>
    <x v="427"/>
    <x v="399"/>
    <x v="419"/>
  </r>
  <r>
    <s v="FX_Spot_Cross"/>
    <x v="16"/>
    <x v="429"/>
    <x v="428"/>
    <x v="400"/>
    <x v="420"/>
  </r>
  <r>
    <s v="FX_Spot_Cross"/>
    <x v="16"/>
    <x v="430"/>
    <x v="429"/>
    <x v="401"/>
    <x v="421"/>
  </r>
  <r>
    <s v="FX_Spot_Cross"/>
    <x v="16"/>
    <x v="431"/>
    <x v="430"/>
    <x v="402"/>
    <x v="422"/>
  </r>
  <r>
    <s v="FX_Spot_Cross"/>
    <x v="16"/>
    <x v="432"/>
    <x v="431"/>
    <x v="403"/>
    <x v="423"/>
  </r>
  <r>
    <s v="FX_Spot_Cross"/>
    <x v="16"/>
    <x v="433"/>
    <x v="432"/>
    <x v="404"/>
    <x v="424"/>
  </r>
  <r>
    <s v="FX_Spot_Cross"/>
    <x v="16"/>
    <x v="434"/>
    <x v="433"/>
    <x v="405"/>
    <x v="425"/>
  </r>
  <r>
    <s v="FX_Spot_Cross"/>
    <x v="16"/>
    <x v="435"/>
    <x v="434"/>
    <x v="406"/>
    <x v="426"/>
  </r>
  <r>
    <s v="FX_Spot_Cross"/>
    <x v="16"/>
    <x v="436"/>
    <x v="435"/>
    <x v="407"/>
    <x v="427"/>
  </r>
  <r>
    <s v="FX_Spot_Cross"/>
    <x v="16"/>
    <x v="437"/>
    <x v="436"/>
    <x v="408"/>
    <x v="428"/>
  </r>
  <r>
    <s v="FX_Spot_Cross"/>
    <x v="16"/>
    <x v="438"/>
    <x v="437"/>
    <x v="409"/>
    <x v="429"/>
  </r>
  <r>
    <s v="FX_Spot_Cross"/>
    <x v="16"/>
    <x v="439"/>
    <x v="438"/>
    <x v="410"/>
    <x v="430"/>
  </r>
  <r>
    <s v="FX_Spot_Cross"/>
    <x v="16"/>
    <x v="440"/>
    <x v="439"/>
    <x v="411"/>
    <x v="431"/>
  </r>
  <r>
    <s v="FX_Spot_Cross"/>
    <x v="16"/>
    <x v="441"/>
    <x v="440"/>
    <x v="412"/>
    <x v="432"/>
  </r>
  <r>
    <s v="FX_Spot_Cross"/>
    <x v="16"/>
    <x v="442"/>
    <x v="441"/>
    <x v="413"/>
    <x v="433"/>
  </r>
  <r>
    <s v="FX_Spot_Cross"/>
    <x v="16"/>
    <x v="443"/>
    <x v="442"/>
    <x v="414"/>
    <x v="434"/>
  </r>
  <r>
    <s v="FX_Spot_Cross"/>
    <x v="16"/>
    <x v="444"/>
    <x v="443"/>
    <x v="415"/>
    <x v="435"/>
  </r>
  <r>
    <s v="FX_Spot_Cross"/>
    <x v="16"/>
    <x v="445"/>
    <x v="444"/>
    <x v="416"/>
    <x v="436"/>
  </r>
  <r>
    <s v="FX_Spot_Cross"/>
    <x v="16"/>
    <x v="446"/>
    <x v="445"/>
    <x v="417"/>
    <x v="437"/>
  </r>
  <r>
    <s v="FX_Spot_Cross"/>
    <x v="16"/>
    <x v="447"/>
    <x v="446"/>
    <x v="418"/>
    <x v="438"/>
  </r>
  <r>
    <s v="FX_Spot_Cross"/>
    <x v="16"/>
    <x v="448"/>
    <x v="447"/>
    <x v="419"/>
    <x v="439"/>
  </r>
  <r>
    <s v="FX_Spot_Cross"/>
    <x v="16"/>
    <x v="25"/>
    <x v="25"/>
    <x v="25"/>
    <x v="25"/>
  </r>
  <r>
    <s v="FX_Spot_Cross"/>
    <x v="16"/>
    <x v="26"/>
    <x v="26"/>
    <x v="26"/>
    <x v="26"/>
  </r>
  <r>
    <s v="FX_Spot_Cross"/>
    <x v="16"/>
    <x v="449"/>
    <x v="448"/>
    <x v="420"/>
    <x v="440"/>
  </r>
  <r>
    <s v="FX_Spot_Cross"/>
    <x v="16"/>
    <x v="450"/>
    <x v="449"/>
    <x v="421"/>
    <x v="441"/>
  </r>
  <r>
    <s v="FX_Spot_Cross"/>
    <x v="16"/>
    <x v="451"/>
    <x v="450"/>
    <x v="422"/>
    <x v="442"/>
  </r>
  <r>
    <s v="FX_Spot_Cross"/>
    <x v="16"/>
    <x v="452"/>
    <x v="451"/>
    <x v="423"/>
    <x v="443"/>
  </r>
  <r>
    <s v="FX_Spot_Cross"/>
    <x v="16"/>
    <x v="453"/>
    <x v="452"/>
    <x v="424"/>
    <x v="444"/>
  </r>
  <r>
    <s v="FX_Spot_Cross"/>
    <x v="16"/>
    <x v="454"/>
    <x v="453"/>
    <x v="425"/>
    <x v="445"/>
  </r>
  <r>
    <s v="FX_Spot_Cross"/>
    <x v="16"/>
    <x v="455"/>
    <x v="454"/>
    <x v="426"/>
    <x v="446"/>
  </r>
  <r>
    <s v="FX_Spot_Cross"/>
    <x v="16"/>
    <x v="66"/>
    <x v="66"/>
    <x v="66"/>
    <x v="66"/>
  </r>
  <r>
    <s v="FX_Spot_Cross"/>
    <x v="16"/>
    <x v="67"/>
    <x v="67"/>
    <x v="67"/>
    <x v="67"/>
  </r>
  <r>
    <s v="FX_Spot_Cross"/>
    <x v="16"/>
    <x v="472"/>
    <x v="471"/>
    <x v="443"/>
    <x v="463"/>
  </r>
  <r>
    <s v="MM_DEPO_and_ST_Paper_incl_TWEB"/>
    <x v="17"/>
    <x v="0"/>
    <x v="0"/>
    <x v="0"/>
    <x v="0"/>
  </r>
  <r>
    <s v="MM_DEPO_and_ST_Paper_incl_TWEB"/>
    <x v="17"/>
    <x v="1"/>
    <x v="1"/>
    <x v="1"/>
    <x v="1"/>
  </r>
  <r>
    <s v="MM_DEPO_and_ST_Paper_incl_TWEB"/>
    <x v="17"/>
    <x v="4"/>
    <x v="4"/>
    <x v="4"/>
    <x v="4"/>
  </r>
  <r>
    <s v="MM_DEPO_and_ST_Paper_incl_TWEB"/>
    <x v="17"/>
    <x v="5"/>
    <x v="5"/>
    <x v="5"/>
    <x v="5"/>
  </r>
  <r>
    <s v="MM_DEPO_and_ST_Paper_incl_TWEB"/>
    <x v="17"/>
    <x v="6"/>
    <x v="6"/>
    <x v="6"/>
    <x v="6"/>
  </r>
  <r>
    <s v="MM_DEPO_and_ST_Paper_incl_TWEB"/>
    <x v="17"/>
    <x v="7"/>
    <x v="7"/>
    <x v="7"/>
    <x v="7"/>
  </r>
  <r>
    <s v="MM_DEPO_and_ST_Paper_incl_TWEB"/>
    <x v="17"/>
    <x v="14"/>
    <x v="14"/>
    <x v="14"/>
    <x v="14"/>
  </r>
  <r>
    <s v="MM_DEPO_and_ST_Paper_incl_TWEB"/>
    <x v="17"/>
    <x v="15"/>
    <x v="15"/>
    <x v="15"/>
    <x v="15"/>
  </r>
  <r>
    <s v="MM_DEPO_and_ST_Paper_incl_TWEB"/>
    <x v="17"/>
    <x v="16"/>
    <x v="16"/>
    <x v="16"/>
    <x v="16"/>
  </r>
  <r>
    <s v="MM_DEPO_and_ST_Paper_incl_TWEB"/>
    <x v="17"/>
    <x v="17"/>
    <x v="17"/>
    <x v="17"/>
    <x v="17"/>
  </r>
  <r>
    <s v="MM_DEPO_and_ST_Paper_incl_TWEB"/>
    <x v="17"/>
    <x v="177"/>
    <x v="177"/>
    <x v="177"/>
    <x v="173"/>
  </r>
  <r>
    <s v="MM_DEPO_and_ST_Paper_incl_TWEB"/>
    <x v="17"/>
    <x v="19"/>
    <x v="19"/>
    <x v="19"/>
    <x v="19"/>
  </r>
  <r>
    <s v="MM_DEPO_and_ST_Paper_incl_TWEB"/>
    <x v="17"/>
    <x v="178"/>
    <x v="178"/>
    <x v="178"/>
    <x v="174"/>
  </r>
  <r>
    <s v="MM_DEPO_and_ST_Paper_incl_TWEB"/>
    <x v="17"/>
    <x v="179"/>
    <x v="179"/>
    <x v="179"/>
    <x v="175"/>
  </r>
  <r>
    <s v="MM_DEPO_and_ST_Paper_incl_TWEB"/>
    <x v="17"/>
    <x v="411"/>
    <x v="410"/>
    <x v="382"/>
    <x v="402"/>
  </r>
  <r>
    <s v="MM_DEPO_and_ST_Paper_incl_TWEB"/>
    <x v="17"/>
    <x v="20"/>
    <x v="20"/>
    <x v="20"/>
    <x v="20"/>
  </r>
  <r>
    <s v="MM_DEPO_and_ST_Paper_incl_TWEB"/>
    <x v="17"/>
    <x v="412"/>
    <x v="411"/>
    <x v="383"/>
    <x v="403"/>
  </r>
  <r>
    <s v="MM_DEPO_and_ST_Paper_incl_TWEB"/>
    <x v="17"/>
    <x v="413"/>
    <x v="412"/>
    <x v="384"/>
    <x v="404"/>
  </r>
  <r>
    <s v="MM_DEPO_and_ST_Paper_incl_TWEB"/>
    <x v="17"/>
    <x v="21"/>
    <x v="21"/>
    <x v="21"/>
    <x v="21"/>
  </r>
  <r>
    <s v="MM_DEPO_and_ST_Paper_incl_TWEB"/>
    <x v="17"/>
    <x v="414"/>
    <x v="413"/>
    <x v="385"/>
    <x v="405"/>
  </r>
  <r>
    <s v="MM_DEPO_and_ST_Paper_incl_TWEB"/>
    <x v="17"/>
    <x v="415"/>
    <x v="414"/>
    <x v="386"/>
    <x v="406"/>
  </r>
  <r>
    <s v="MM_DEPO_and_ST_Paper_incl_TWEB"/>
    <x v="17"/>
    <x v="416"/>
    <x v="415"/>
    <x v="387"/>
    <x v="407"/>
  </r>
  <r>
    <s v="MM_DEPO_and_ST_Paper_incl_TWEB"/>
    <x v="17"/>
    <x v="417"/>
    <x v="416"/>
    <x v="388"/>
    <x v="408"/>
  </r>
  <r>
    <s v="MM_DEPO_and_ST_Paper_incl_TWEB"/>
    <x v="17"/>
    <x v="418"/>
    <x v="417"/>
    <x v="389"/>
    <x v="409"/>
  </r>
  <r>
    <s v="MM_DEPO_and_ST_Paper_incl_TWEB"/>
    <x v="17"/>
    <x v="419"/>
    <x v="418"/>
    <x v="390"/>
    <x v="410"/>
  </r>
  <r>
    <s v="MM_DEPO_and_ST_Paper_incl_TWEB"/>
    <x v="17"/>
    <x v="420"/>
    <x v="419"/>
    <x v="391"/>
    <x v="411"/>
  </r>
  <r>
    <s v="MM_DEPO_and_ST_Paper_incl_TWEB"/>
    <x v="17"/>
    <x v="421"/>
    <x v="420"/>
    <x v="392"/>
    <x v="412"/>
  </r>
  <r>
    <s v="MM_DEPO_and_ST_Paper_incl_TWEB"/>
    <x v="17"/>
    <x v="422"/>
    <x v="421"/>
    <x v="393"/>
    <x v="413"/>
  </r>
  <r>
    <s v="MM_DEPO_and_ST_Paper_incl_TWEB"/>
    <x v="17"/>
    <x v="423"/>
    <x v="422"/>
    <x v="394"/>
    <x v="414"/>
  </r>
  <r>
    <s v="MM_DEPO_and_ST_Paper_incl_TWEB"/>
    <x v="17"/>
    <x v="424"/>
    <x v="423"/>
    <x v="395"/>
    <x v="415"/>
  </r>
  <r>
    <s v="MM_DEPO_and_ST_Paper_incl_TWEB"/>
    <x v="17"/>
    <x v="425"/>
    <x v="424"/>
    <x v="396"/>
    <x v="416"/>
  </r>
  <r>
    <s v="MM_DEPO_and_ST_Paper_incl_TWEB"/>
    <x v="17"/>
    <x v="426"/>
    <x v="425"/>
    <x v="397"/>
    <x v="417"/>
  </r>
  <r>
    <s v="MM_DEPO_and_ST_Paper_incl_TWEB"/>
    <x v="17"/>
    <x v="427"/>
    <x v="426"/>
    <x v="398"/>
    <x v="418"/>
  </r>
  <r>
    <s v="MM_DEPO_and_ST_Paper_incl_TWEB"/>
    <x v="17"/>
    <x v="428"/>
    <x v="427"/>
    <x v="399"/>
    <x v="419"/>
  </r>
  <r>
    <s v="MM_DEPO_and_ST_Paper_incl_TWEB"/>
    <x v="17"/>
    <x v="429"/>
    <x v="428"/>
    <x v="400"/>
    <x v="420"/>
  </r>
  <r>
    <s v="MM_DEPO_and_ST_Paper_incl_TWEB"/>
    <x v="17"/>
    <x v="430"/>
    <x v="429"/>
    <x v="401"/>
    <x v="421"/>
  </r>
  <r>
    <s v="MM_DEPO_and_ST_Paper_incl_TWEB"/>
    <x v="17"/>
    <x v="431"/>
    <x v="430"/>
    <x v="402"/>
    <x v="422"/>
  </r>
  <r>
    <s v="MM_DEPO_and_ST_Paper_incl_TWEB"/>
    <x v="17"/>
    <x v="432"/>
    <x v="431"/>
    <x v="403"/>
    <x v="423"/>
  </r>
  <r>
    <s v="MM_DEPO_and_ST_Paper_incl_TWEB"/>
    <x v="17"/>
    <x v="433"/>
    <x v="432"/>
    <x v="404"/>
    <x v="424"/>
  </r>
  <r>
    <s v="MM_DEPO_and_ST_Paper_incl_TWEB"/>
    <x v="17"/>
    <x v="434"/>
    <x v="433"/>
    <x v="405"/>
    <x v="425"/>
  </r>
  <r>
    <s v="MM_DEPO_and_ST_Paper_incl_TWEB"/>
    <x v="17"/>
    <x v="435"/>
    <x v="434"/>
    <x v="406"/>
    <x v="426"/>
  </r>
  <r>
    <s v="MM_DEPO_and_ST_Paper_incl_TWEB"/>
    <x v="17"/>
    <x v="436"/>
    <x v="435"/>
    <x v="407"/>
    <x v="427"/>
  </r>
  <r>
    <s v="MM_DEPO_and_ST_Paper_incl_TWEB"/>
    <x v="17"/>
    <x v="437"/>
    <x v="436"/>
    <x v="408"/>
    <x v="428"/>
  </r>
  <r>
    <s v="MM_DEPO_and_ST_Paper_incl_TWEB"/>
    <x v="17"/>
    <x v="438"/>
    <x v="437"/>
    <x v="409"/>
    <x v="429"/>
  </r>
  <r>
    <s v="MM_DEPO_and_ST_Paper_incl_TWEB"/>
    <x v="17"/>
    <x v="439"/>
    <x v="438"/>
    <x v="410"/>
    <x v="430"/>
  </r>
  <r>
    <s v="MM_DEPO_and_ST_Paper_incl_TWEB"/>
    <x v="17"/>
    <x v="440"/>
    <x v="439"/>
    <x v="411"/>
    <x v="431"/>
  </r>
  <r>
    <s v="MM_DEPO_and_ST_Paper_incl_TWEB"/>
    <x v="17"/>
    <x v="441"/>
    <x v="440"/>
    <x v="412"/>
    <x v="432"/>
  </r>
  <r>
    <s v="MM_DEPO_and_ST_Paper_incl_TWEB"/>
    <x v="17"/>
    <x v="272"/>
    <x v="272"/>
    <x v="272"/>
    <x v="267"/>
  </r>
  <r>
    <s v="MM_Fixings-Swap_FRA_DEPO_REPO_IR"/>
    <x v="18"/>
    <x v="0"/>
    <x v="0"/>
    <x v="0"/>
    <x v="0"/>
  </r>
  <r>
    <s v="MM_Fixings-Swap_FRA_DEPO_REPO_IR"/>
    <x v="18"/>
    <x v="1"/>
    <x v="1"/>
    <x v="1"/>
    <x v="1"/>
  </r>
  <r>
    <s v="MM_Fixings-Swap_FRA_DEPO_REPO_IR"/>
    <x v="18"/>
    <x v="4"/>
    <x v="4"/>
    <x v="4"/>
    <x v="4"/>
  </r>
  <r>
    <s v="MM_Fixings-Swap_FRA_DEPO_REPO_IR"/>
    <x v="18"/>
    <x v="5"/>
    <x v="5"/>
    <x v="5"/>
    <x v="5"/>
  </r>
  <r>
    <s v="MM_Fixings-Swap_FRA_DEPO_REPO_IR"/>
    <x v="18"/>
    <x v="6"/>
    <x v="6"/>
    <x v="6"/>
    <x v="6"/>
  </r>
  <r>
    <s v="MM_Fixings-Swap_FRA_DEPO_REPO_IR"/>
    <x v="18"/>
    <x v="7"/>
    <x v="7"/>
    <x v="7"/>
    <x v="7"/>
  </r>
  <r>
    <s v="MM_Fixings-Swap_FRA_DEPO_REPO_IR"/>
    <x v="18"/>
    <x v="264"/>
    <x v="264"/>
    <x v="264"/>
    <x v="259"/>
  </r>
  <r>
    <s v="MM_Fixings-Swap_FRA_DEPO_REPO_IR"/>
    <x v="18"/>
    <x v="456"/>
    <x v="455"/>
    <x v="427"/>
    <x v="447"/>
  </r>
  <r>
    <s v="MM_Fixings-Swap_FRA_DEPO_REPO_IR"/>
    <x v="18"/>
    <x v="14"/>
    <x v="14"/>
    <x v="14"/>
    <x v="14"/>
  </r>
  <r>
    <s v="MM_Fixings-Swap_FRA_DEPO_REPO_IR"/>
    <x v="18"/>
    <x v="15"/>
    <x v="15"/>
    <x v="15"/>
    <x v="15"/>
  </r>
  <r>
    <s v="MM_Fixings-Swap_FRA_DEPO_REPO_IR"/>
    <x v="18"/>
    <x v="16"/>
    <x v="16"/>
    <x v="16"/>
    <x v="16"/>
  </r>
  <r>
    <s v="MM_Fixings-Swap_FRA_DEPO_REPO_IR"/>
    <x v="18"/>
    <x v="17"/>
    <x v="17"/>
    <x v="17"/>
    <x v="17"/>
  </r>
  <r>
    <s v="MM_Fixings-Swap_FRA_DEPO_REPO_IR"/>
    <x v="18"/>
    <x v="177"/>
    <x v="177"/>
    <x v="177"/>
    <x v="173"/>
  </r>
  <r>
    <s v="MM_Fixings-Swap_FRA_DEPO_REPO_IR"/>
    <x v="18"/>
    <x v="18"/>
    <x v="18"/>
    <x v="18"/>
    <x v="18"/>
  </r>
  <r>
    <s v="MM_Fixings-Swap_FRA_DEPO_REPO_IR"/>
    <x v="18"/>
    <x v="178"/>
    <x v="178"/>
    <x v="178"/>
    <x v="174"/>
  </r>
  <r>
    <s v="MM_Fixings-Swap_FRA_DEPO_REPO_IR"/>
    <x v="18"/>
    <x v="179"/>
    <x v="179"/>
    <x v="179"/>
    <x v="175"/>
  </r>
  <r>
    <s v="MM_Fixings-Swap_FRA_DEPO_REPO_IR"/>
    <x v="18"/>
    <x v="411"/>
    <x v="410"/>
    <x v="382"/>
    <x v="402"/>
  </r>
  <r>
    <s v="MM_Fixings-Swap_FRA_DEPO_REPO_IR"/>
    <x v="18"/>
    <x v="20"/>
    <x v="20"/>
    <x v="20"/>
    <x v="20"/>
  </r>
  <r>
    <s v="MM_Fixings-Swap_FRA_DEPO_REPO_IR"/>
    <x v="18"/>
    <x v="412"/>
    <x v="411"/>
    <x v="383"/>
    <x v="403"/>
  </r>
  <r>
    <s v="MM_Fixings-Swap_FRA_DEPO_REPO_IR"/>
    <x v="18"/>
    <x v="413"/>
    <x v="412"/>
    <x v="384"/>
    <x v="404"/>
  </r>
  <r>
    <s v="MM_Fixings-Swap_FRA_DEPO_REPO_IR"/>
    <x v="18"/>
    <x v="273"/>
    <x v="273"/>
    <x v="273"/>
    <x v="268"/>
  </r>
  <r>
    <s v="MM_Fixings-Swap_FRA_DEPO_REPO_IR"/>
    <x v="18"/>
    <x v="473"/>
    <x v="472"/>
    <x v="444"/>
    <x v="122"/>
  </r>
  <r>
    <s v="MM_Fixings-Swap_FRA_DEPO_REPO_IR"/>
    <x v="18"/>
    <x v="474"/>
    <x v="473"/>
    <x v="445"/>
    <x v="464"/>
  </r>
  <r>
    <s v="MM_Fixings-Swap_FRA_DEPO_REPO_IR"/>
    <x v="18"/>
    <x v="475"/>
    <x v="474"/>
    <x v="446"/>
    <x v="465"/>
  </r>
  <r>
    <s v="MM_IR_Swaps"/>
    <x v="19"/>
    <x v="0"/>
    <x v="0"/>
    <x v="0"/>
    <x v="0"/>
  </r>
  <r>
    <s v="MM_IR_Swaps"/>
    <x v="19"/>
    <x v="1"/>
    <x v="1"/>
    <x v="1"/>
    <x v="1"/>
  </r>
  <r>
    <s v="MM_IR_Swaps"/>
    <x v="19"/>
    <x v="4"/>
    <x v="4"/>
    <x v="4"/>
    <x v="4"/>
  </r>
  <r>
    <s v="MM_IR_Swaps"/>
    <x v="19"/>
    <x v="5"/>
    <x v="5"/>
    <x v="5"/>
    <x v="5"/>
  </r>
  <r>
    <s v="MM_IR_Swaps"/>
    <x v="19"/>
    <x v="6"/>
    <x v="6"/>
    <x v="6"/>
    <x v="6"/>
  </r>
  <r>
    <s v="MM_IR_Swaps"/>
    <x v="19"/>
    <x v="7"/>
    <x v="7"/>
    <x v="7"/>
    <x v="7"/>
  </r>
  <r>
    <s v="MM_IR_Swaps"/>
    <x v="19"/>
    <x v="476"/>
    <x v="475"/>
    <x v="447"/>
    <x v="466"/>
  </r>
  <r>
    <s v="MM_IR_Swaps"/>
    <x v="19"/>
    <x v="14"/>
    <x v="14"/>
    <x v="14"/>
    <x v="14"/>
  </r>
  <r>
    <s v="MM_IR_Swaps"/>
    <x v="19"/>
    <x v="15"/>
    <x v="15"/>
    <x v="15"/>
    <x v="15"/>
  </r>
  <r>
    <s v="MM_IR_Swaps"/>
    <x v="19"/>
    <x v="16"/>
    <x v="16"/>
    <x v="16"/>
    <x v="16"/>
  </r>
  <r>
    <s v="MM_IR_Swaps"/>
    <x v="19"/>
    <x v="17"/>
    <x v="17"/>
    <x v="17"/>
    <x v="17"/>
  </r>
  <r>
    <s v="MM_IR_Swaps"/>
    <x v="19"/>
    <x v="177"/>
    <x v="177"/>
    <x v="177"/>
    <x v="173"/>
  </r>
  <r>
    <s v="MM_IR_Swaps"/>
    <x v="19"/>
    <x v="18"/>
    <x v="18"/>
    <x v="18"/>
    <x v="18"/>
  </r>
  <r>
    <s v="MM_IR_Swaps"/>
    <x v="19"/>
    <x v="178"/>
    <x v="178"/>
    <x v="178"/>
    <x v="174"/>
  </r>
  <r>
    <s v="MM_IR_Swaps"/>
    <x v="19"/>
    <x v="179"/>
    <x v="179"/>
    <x v="179"/>
    <x v="175"/>
  </r>
  <r>
    <s v="MM_IR_Swaps"/>
    <x v="19"/>
    <x v="411"/>
    <x v="410"/>
    <x v="382"/>
    <x v="402"/>
  </r>
  <r>
    <s v="MM_IR_Swaps"/>
    <x v="19"/>
    <x v="20"/>
    <x v="20"/>
    <x v="20"/>
    <x v="20"/>
  </r>
  <r>
    <s v="MM_IR_Swaps"/>
    <x v="19"/>
    <x v="412"/>
    <x v="411"/>
    <x v="383"/>
    <x v="403"/>
  </r>
  <r>
    <s v="MM_IR_Swaps"/>
    <x v="19"/>
    <x v="413"/>
    <x v="412"/>
    <x v="384"/>
    <x v="404"/>
  </r>
  <r>
    <s v="MM_IR_Swaps"/>
    <x v="19"/>
    <x v="21"/>
    <x v="21"/>
    <x v="21"/>
    <x v="21"/>
  </r>
  <r>
    <s v="MM_IR_Swaps"/>
    <x v="19"/>
    <x v="414"/>
    <x v="413"/>
    <x v="385"/>
    <x v="405"/>
  </r>
  <r>
    <s v="MM_IR_Swaps"/>
    <x v="19"/>
    <x v="415"/>
    <x v="414"/>
    <x v="386"/>
    <x v="406"/>
  </r>
  <r>
    <s v="MM_IR_Swaps"/>
    <x v="19"/>
    <x v="416"/>
    <x v="415"/>
    <x v="387"/>
    <x v="407"/>
  </r>
  <r>
    <s v="MM_IR_Swaps"/>
    <x v="19"/>
    <x v="417"/>
    <x v="416"/>
    <x v="388"/>
    <x v="408"/>
  </r>
  <r>
    <s v="MM_IR_Swaps"/>
    <x v="19"/>
    <x v="418"/>
    <x v="417"/>
    <x v="389"/>
    <x v="409"/>
  </r>
  <r>
    <s v="MM_IR_Swaps"/>
    <x v="19"/>
    <x v="419"/>
    <x v="418"/>
    <x v="390"/>
    <x v="410"/>
  </r>
  <r>
    <s v="MM_IR_Swaps"/>
    <x v="19"/>
    <x v="420"/>
    <x v="419"/>
    <x v="391"/>
    <x v="411"/>
  </r>
  <r>
    <s v="MM_IR_Swaps"/>
    <x v="19"/>
    <x v="421"/>
    <x v="420"/>
    <x v="392"/>
    <x v="412"/>
  </r>
  <r>
    <s v="MM_IR_Swaps"/>
    <x v="19"/>
    <x v="422"/>
    <x v="421"/>
    <x v="393"/>
    <x v="413"/>
  </r>
  <r>
    <s v="MM_IR_Swaps"/>
    <x v="19"/>
    <x v="423"/>
    <x v="422"/>
    <x v="394"/>
    <x v="414"/>
  </r>
  <r>
    <s v="MM_IR_Swaps"/>
    <x v="19"/>
    <x v="424"/>
    <x v="423"/>
    <x v="395"/>
    <x v="415"/>
  </r>
  <r>
    <s v="MM_IR_Swaps"/>
    <x v="19"/>
    <x v="425"/>
    <x v="424"/>
    <x v="396"/>
    <x v="416"/>
  </r>
  <r>
    <s v="MM_IR_Swaps"/>
    <x v="19"/>
    <x v="426"/>
    <x v="425"/>
    <x v="397"/>
    <x v="417"/>
  </r>
  <r>
    <s v="MM_IR_Swaps"/>
    <x v="19"/>
    <x v="427"/>
    <x v="426"/>
    <x v="398"/>
    <x v="418"/>
  </r>
  <r>
    <s v="MM_IR_Swaps"/>
    <x v="19"/>
    <x v="428"/>
    <x v="427"/>
    <x v="399"/>
    <x v="419"/>
  </r>
  <r>
    <s v="MM_IR_Swaps"/>
    <x v="19"/>
    <x v="429"/>
    <x v="428"/>
    <x v="400"/>
    <x v="420"/>
  </r>
  <r>
    <s v="MM_IR_Swaps"/>
    <x v="19"/>
    <x v="430"/>
    <x v="429"/>
    <x v="401"/>
    <x v="421"/>
  </r>
  <r>
    <s v="MM_IR_Swaps"/>
    <x v="19"/>
    <x v="431"/>
    <x v="430"/>
    <x v="402"/>
    <x v="422"/>
  </r>
  <r>
    <s v="MM_IR_Swaps"/>
    <x v="19"/>
    <x v="432"/>
    <x v="431"/>
    <x v="403"/>
    <x v="423"/>
  </r>
  <r>
    <s v="MM_IR_Swaps"/>
    <x v="19"/>
    <x v="433"/>
    <x v="432"/>
    <x v="404"/>
    <x v="424"/>
  </r>
  <r>
    <s v="MM_IR_Swaps"/>
    <x v="19"/>
    <x v="434"/>
    <x v="433"/>
    <x v="405"/>
    <x v="425"/>
  </r>
  <r>
    <s v="MM_IR_Swaps"/>
    <x v="19"/>
    <x v="435"/>
    <x v="434"/>
    <x v="406"/>
    <x v="426"/>
  </r>
  <r>
    <s v="MM_IR_Swaps"/>
    <x v="19"/>
    <x v="436"/>
    <x v="435"/>
    <x v="407"/>
    <x v="427"/>
  </r>
  <r>
    <s v="MM_IR_Swaps"/>
    <x v="19"/>
    <x v="437"/>
    <x v="436"/>
    <x v="408"/>
    <x v="428"/>
  </r>
  <r>
    <s v="MM_IR_Swaps"/>
    <x v="19"/>
    <x v="438"/>
    <x v="437"/>
    <x v="409"/>
    <x v="429"/>
  </r>
  <r>
    <s v="MM_IR_Swaps"/>
    <x v="19"/>
    <x v="439"/>
    <x v="438"/>
    <x v="410"/>
    <x v="430"/>
  </r>
  <r>
    <s v="MM_IR_Swaps"/>
    <x v="19"/>
    <x v="440"/>
    <x v="439"/>
    <x v="411"/>
    <x v="431"/>
  </r>
  <r>
    <s v="MM_IR_Swaps"/>
    <x v="19"/>
    <x v="441"/>
    <x v="440"/>
    <x v="412"/>
    <x v="432"/>
  </r>
  <r>
    <s v="MM_IR_Swaps"/>
    <x v="19"/>
    <x v="272"/>
    <x v="272"/>
    <x v="272"/>
    <x v="267"/>
  </r>
  <r>
    <s v="MM_IR_Swaps"/>
    <x v="19"/>
    <x v="145"/>
    <x v="145"/>
    <x v="145"/>
    <x v="141"/>
  </r>
  <r>
    <s v="MM_IR_Swaps"/>
    <x v="19"/>
    <x v="274"/>
    <x v="274"/>
    <x v="274"/>
    <x v="269"/>
  </r>
  <r>
    <s v="MM_IR_Swaps"/>
    <x v="19"/>
    <x v="220"/>
    <x v="220"/>
    <x v="220"/>
    <x v="215"/>
  </r>
  <r>
    <s v="MM_IR_Swaps"/>
    <x v="19"/>
    <x v="348"/>
    <x v="348"/>
    <x v="348"/>
    <x v="339"/>
  </r>
  <r>
    <s v="MM_IR_Swaps"/>
    <x v="19"/>
    <x v="279"/>
    <x v="279"/>
    <x v="279"/>
    <x v="274"/>
  </r>
  <r>
    <s v="MM_IR_Swaps"/>
    <x v="19"/>
    <x v="477"/>
    <x v="476"/>
    <x v="448"/>
    <x v="467"/>
  </r>
  <r>
    <s v="MM_IR_Swaps"/>
    <x v="19"/>
    <x v="478"/>
    <x v="477"/>
    <x v="449"/>
    <x v="468"/>
  </r>
  <r>
    <s v="MM_IR_Swaps"/>
    <x v="19"/>
    <x v="479"/>
    <x v="478"/>
    <x v="450"/>
    <x v="469"/>
  </r>
  <r>
    <s v="MM_IR_Swaps"/>
    <x v="19"/>
    <x v="480"/>
    <x v="479"/>
    <x v="451"/>
    <x v="470"/>
  </r>
  <r>
    <s v="MM_IR_Swaps"/>
    <x v="19"/>
    <x v="349"/>
    <x v="349"/>
    <x v="349"/>
    <x v="340"/>
  </r>
  <r>
    <s v="MM_IR_Swaps"/>
    <x v="19"/>
    <x v="350"/>
    <x v="350"/>
    <x v="350"/>
    <x v="341"/>
  </r>
  <r>
    <s v="MM_REPO"/>
    <x v="20"/>
    <x v="0"/>
    <x v="0"/>
    <x v="0"/>
    <x v="0"/>
  </r>
  <r>
    <s v="MM_REPO"/>
    <x v="20"/>
    <x v="1"/>
    <x v="1"/>
    <x v="1"/>
    <x v="1"/>
  </r>
  <r>
    <s v="MM_REPO"/>
    <x v="20"/>
    <x v="4"/>
    <x v="4"/>
    <x v="4"/>
    <x v="4"/>
  </r>
  <r>
    <s v="MM_REPO"/>
    <x v="20"/>
    <x v="5"/>
    <x v="5"/>
    <x v="5"/>
    <x v="5"/>
  </r>
  <r>
    <s v="MM_REPO"/>
    <x v="20"/>
    <x v="6"/>
    <x v="6"/>
    <x v="6"/>
    <x v="6"/>
  </r>
  <r>
    <s v="MM_REPO"/>
    <x v="20"/>
    <x v="14"/>
    <x v="14"/>
    <x v="14"/>
    <x v="14"/>
  </r>
  <r>
    <s v="MM_REPO"/>
    <x v="20"/>
    <x v="15"/>
    <x v="15"/>
    <x v="15"/>
    <x v="15"/>
  </r>
  <r>
    <s v="MM_REPO"/>
    <x v="20"/>
    <x v="16"/>
    <x v="16"/>
    <x v="16"/>
    <x v="16"/>
  </r>
  <r>
    <s v="MM_REPO"/>
    <x v="20"/>
    <x v="17"/>
    <x v="17"/>
    <x v="17"/>
    <x v="17"/>
  </r>
  <r>
    <s v="MM_REPO"/>
    <x v="20"/>
    <x v="177"/>
    <x v="177"/>
    <x v="177"/>
    <x v="173"/>
  </r>
  <r>
    <s v="MM_REPO"/>
    <x v="20"/>
    <x v="18"/>
    <x v="18"/>
    <x v="18"/>
    <x v="18"/>
  </r>
  <r>
    <s v="MM_REPO"/>
    <x v="20"/>
    <x v="178"/>
    <x v="178"/>
    <x v="178"/>
    <x v="174"/>
  </r>
  <r>
    <s v="MM_REPO"/>
    <x v="20"/>
    <x v="179"/>
    <x v="179"/>
    <x v="179"/>
    <x v="175"/>
  </r>
  <r>
    <s v="MM_REPO"/>
    <x v="20"/>
    <x v="411"/>
    <x v="410"/>
    <x v="382"/>
    <x v="402"/>
  </r>
  <r>
    <s v="MM_REPO"/>
    <x v="20"/>
    <x v="20"/>
    <x v="20"/>
    <x v="20"/>
    <x v="20"/>
  </r>
  <r>
    <s v="MM_REPO"/>
    <x v="20"/>
    <x v="412"/>
    <x v="411"/>
    <x v="383"/>
    <x v="403"/>
  </r>
  <r>
    <s v="MM_REPO"/>
    <x v="20"/>
    <x v="413"/>
    <x v="412"/>
    <x v="384"/>
    <x v="404"/>
  </r>
  <r>
    <s v="MM_REPO"/>
    <x v="20"/>
    <x v="414"/>
    <x v="413"/>
    <x v="385"/>
    <x v="405"/>
  </r>
  <r>
    <s v="MM_REPO"/>
    <x v="20"/>
    <x v="415"/>
    <x v="414"/>
    <x v="386"/>
    <x v="406"/>
  </r>
  <r>
    <s v="MM_REPO"/>
    <x v="20"/>
    <x v="416"/>
    <x v="415"/>
    <x v="387"/>
    <x v="407"/>
  </r>
  <r>
    <s v="MM_REPO"/>
    <x v="20"/>
    <x v="272"/>
    <x v="272"/>
    <x v="272"/>
    <x v="267"/>
  </r>
  <r>
    <s v="MM_YC_Derived"/>
    <x v="21"/>
    <x v="167"/>
    <x v="167"/>
    <x v="167"/>
    <x v="163"/>
  </r>
  <r>
    <s v="MM_YC_Derived"/>
    <x v="21"/>
    <x v="180"/>
    <x v="180"/>
    <x v="180"/>
    <x v="176"/>
  </r>
  <r>
    <s v="MM_YC_Derived"/>
    <x v="21"/>
    <x v="181"/>
    <x v="181"/>
    <x v="181"/>
    <x v="177"/>
  </r>
  <r>
    <s v="MM_YC_Derived"/>
    <x v="21"/>
    <x v="182"/>
    <x v="182"/>
    <x v="182"/>
    <x v="178"/>
  </r>
  <r>
    <s v="MM_YC_Derived"/>
    <x v="21"/>
    <x v="183"/>
    <x v="183"/>
    <x v="183"/>
    <x v="179"/>
  </r>
  <r>
    <s v="MM_YC_Derived"/>
    <x v="21"/>
    <x v="184"/>
    <x v="184"/>
    <x v="184"/>
    <x v="180"/>
  </r>
  <r>
    <s v="MM_YC_Derived"/>
    <x v="21"/>
    <x v="360"/>
    <x v="360"/>
    <x v="360"/>
    <x v="351"/>
  </r>
  <r>
    <s v="MM_YC_Derived"/>
    <x v="21"/>
    <x v="361"/>
    <x v="361"/>
    <x v="360"/>
    <x v="352"/>
  </r>
  <r>
    <s v="MM_YC_Derived"/>
    <x v="21"/>
    <x v="362"/>
    <x v="362"/>
    <x v="360"/>
    <x v="353"/>
  </r>
  <r>
    <s v="MM_YC_Derived"/>
    <x v="21"/>
    <x v="363"/>
    <x v="363"/>
    <x v="360"/>
    <x v="354"/>
  </r>
  <r>
    <s v="MM_YC_Derived"/>
    <x v="21"/>
    <x v="364"/>
    <x v="364"/>
    <x v="360"/>
    <x v="355"/>
  </r>
  <r>
    <s v="MM_YC_Derived"/>
    <x v="21"/>
    <x v="365"/>
    <x v="365"/>
    <x v="360"/>
    <x v="356"/>
  </r>
  <r>
    <s v="MM_YC_Derived"/>
    <x v="21"/>
    <x v="366"/>
    <x v="366"/>
    <x v="361"/>
    <x v="357"/>
  </r>
  <r>
    <s v="MM_YC_Derived"/>
    <x v="21"/>
    <x v="367"/>
    <x v="367"/>
    <x v="362"/>
    <x v="358"/>
  </r>
  <r>
    <s v="MM_YC_Derived"/>
    <x v="21"/>
    <x v="368"/>
    <x v="368"/>
    <x v="360"/>
    <x v="359"/>
  </r>
  <r>
    <s v="MM_YC_Derived"/>
    <x v="21"/>
    <x v="369"/>
    <x v="369"/>
    <x v="360"/>
    <x v="360"/>
  </r>
  <r>
    <s v="MM_YC_Derived"/>
    <x v="21"/>
    <x v="370"/>
    <x v="370"/>
    <x v="360"/>
    <x v="361"/>
  </r>
  <r>
    <s v="MM_YC_Derived"/>
    <x v="21"/>
    <x v="371"/>
    <x v="371"/>
    <x v="360"/>
    <x v="362"/>
  </r>
  <r>
    <s v="MM_YC_Derived"/>
    <x v="21"/>
    <x v="372"/>
    <x v="372"/>
    <x v="360"/>
    <x v="363"/>
  </r>
  <r>
    <s v="MM_YC_Derived"/>
    <x v="21"/>
    <x v="373"/>
    <x v="373"/>
    <x v="360"/>
    <x v="364"/>
  </r>
  <r>
    <s v="MM_YC_Derived"/>
    <x v="21"/>
    <x v="374"/>
    <x v="374"/>
    <x v="360"/>
    <x v="365"/>
  </r>
  <r>
    <s v="MM_YC_Derived"/>
    <x v="21"/>
    <x v="375"/>
    <x v="375"/>
    <x v="360"/>
    <x v="366"/>
  </r>
  <r>
    <s v="MM_YC_Derived"/>
    <x v="21"/>
    <x v="376"/>
    <x v="376"/>
    <x v="360"/>
    <x v="367"/>
  </r>
  <r>
    <s v="MM_YC_Derived"/>
    <x v="21"/>
    <x v="377"/>
    <x v="377"/>
    <x v="360"/>
    <x v="368"/>
  </r>
  <r>
    <s v="MM_YC_Derived"/>
    <x v="21"/>
    <x v="378"/>
    <x v="378"/>
    <x v="360"/>
    <x v="369"/>
  </r>
  <r>
    <s v="MM_YC_Derived"/>
    <x v="21"/>
    <x v="379"/>
    <x v="379"/>
    <x v="360"/>
    <x v="370"/>
  </r>
  <r>
    <s v="MM_YC_Derived"/>
    <x v="21"/>
    <x v="380"/>
    <x v="380"/>
    <x v="360"/>
    <x v="371"/>
  </r>
  <r>
    <s v="MM_YC_Derived"/>
    <x v="21"/>
    <x v="381"/>
    <x v="381"/>
    <x v="360"/>
    <x v="372"/>
  </r>
  <r>
    <s v="MM_YC_Derived"/>
    <x v="21"/>
    <x v="382"/>
    <x v="382"/>
    <x v="360"/>
    <x v="373"/>
  </r>
  <r>
    <s v="MM_YC_Derived"/>
    <x v="21"/>
    <x v="383"/>
    <x v="383"/>
    <x v="360"/>
    <x v="374"/>
  </r>
  <r>
    <s v="MM_YC_Derived"/>
    <x v="21"/>
    <x v="384"/>
    <x v="384"/>
    <x v="360"/>
    <x v="375"/>
  </r>
  <r>
    <s v="MM_YC_Derived"/>
    <x v="21"/>
    <x v="385"/>
    <x v="385"/>
    <x v="360"/>
    <x v="376"/>
  </r>
  <r>
    <s v="MM_YC_Derived"/>
    <x v="21"/>
    <x v="386"/>
    <x v="386"/>
    <x v="360"/>
    <x v="377"/>
  </r>
  <r>
    <s v="MM_YC_Derived"/>
    <x v="21"/>
    <x v="387"/>
    <x v="387"/>
    <x v="360"/>
    <x v="378"/>
  </r>
  <r>
    <s v="MM_YC_Derived"/>
    <x v="21"/>
    <x v="388"/>
    <x v="388"/>
    <x v="360"/>
    <x v="379"/>
  </r>
  <r>
    <s v="MM_YC_Derived"/>
    <x v="21"/>
    <x v="389"/>
    <x v="389"/>
    <x v="360"/>
    <x v="380"/>
  </r>
  <r>
    <s v="MM_YC_Derived"/>
    <x v="21"/>
    <x v="390"/>
    <x v="390"/>
    <x v="360"/>
    <x v="381"/>
  </r>
  <r>
    <s v="MM_YC_Derived"/>
    <x v="21"/>
    <x v="391"/>
    <x v="391"/>
    <x v="360"/>
    <x v="382"/>
  </r>
  <r>
    <s v="MMFX_Financial_Indices"/>
    <x v="22"/>
    <x v="0"/>
    <x v="0"/>
    <x v="0"/>
    <x v="0"/>
  </r>
  <r>
    <s v="MMFX_Financial_Indices"/>
    <x v="22"/>
    <x v="1"/>
    <x v="1"/>
    <x v="1"/>
    <x v="1"/>
  </r>
  <r>
    <s v="MMFX_Financial_Indices"/>
    <x v="22"/>
    <x v="4"/>
    <x v="4"/>
    <x v="4"/>
    <x v="4"/>
  </r>
  <r>
    <s v="MMFX_Financial_Indices"/>
    <x v="22"/>
    <x v="5"/>
    <x v="5"/>
    <x v="5"/>
    <x v="5"/>
  </r>
  <r>
    <s v="MMFX_Financial_Indices"/>
    <x v="22"/>
    <x v="7"/>
    <x v="7"/>
    <x v="7"/>
    <x v="7"/>
  </r>
  <r>
    <s v="MMFX_Financial_Indices"/>
    <x v="22"/>
    <x v="14"/>
    <x v="14"/>
    <x v="14"/>
    <x v="14"/>
  </r>
  <r>
    <s v="MMFX_Financial_Indices"/>
    <x v="22"/>
    <x v="15"/>
    <x v="15"/>
    <x v="15"/>
    <x v="15"/>
  </r>
  <r>
    <s v="MMFX_Financial_Indices"/>
    <x v="22"/>
    <x v="16"/>
    <x v="16"/>
    <x v="16"/>
    <x v="16"/>
  </r>
  <r>
    <s v="MMFX_Financial_Indices"/>
    <x v="22"/>
    <x v="17"/>
    <x v="17"/>
    <x v="17"/>
    <x v="17"/>
  </r>
  <r>
    <s v="MMFX_Financial_Indices"/>
    <x v="22"/>
    <x v="19"/>
    <x v="19"/>
    <x v="19"/>
    <x v="19"/>
  </r>
  <r>
    <s v="Multi-Statistics"/>
    <x v="23"/>
    <x v="1"/>
    <x v="1"/>
    <x v="1"/>
    <x v="1"/>
  </r>
  <r>
    <s v="Multi-Statistics"/>
    <x v="23"/>
    <x v="266"/>
    <x v="266"/>
    <x v="266"/>
    <x v="261"/>
  </r>
  <r>
    <s v="Multi-Statistics"/>
    <x v="23"/>
    <x v="396"/>
    <x v="396"/>
    <x v="367"/>
    <x v="387"/>
  </r>
  <r>
    <s v="Multi-Statistics"/>
    <x v="23"/>
    <x v="397"/>
    <x v="397"/>
    <x v="368"/>
    <x v="388"/>
  </r>
  <r>
    <s v="Multi-Statistics"/>
    <x v="23"/>
    <x v="481"/>
    <x v="480"/>
    <x v="452"/>
    <x v="471"/>
  </r>
  <r>
    <s v="Multi-Statistics"/>
    <x v="23"/>
    <x v="482"/>
    <x v="481"/>
    <x v="453"/>
    <x v="472"/>
  </r>
  <r>
    <s v="Multi-Statistics"/>
    <x v="23"/>
    <x v="483"/>
    <x v="482"/>
    <x v="454"/>
    <x v="473"/>
  </r>
  <r>
    <s v="Multi-Statistics"/>
    <x v="23"/>
    <x v="484"/>
    <x v="483"/>
    <x v="455"/>
    <x v="474"/>
  </r>
  <r>
    <s v="Multi-Statistics"/>
    <x v="23"/>
    <x v="485"/>
    <x v="484"/>
    <x v="456"/>
    <x v="475"/>
  </r>
  <r>
    <s v="Multi-Statistics"/>
    <x v="23"/>
    <x v="486"/>
    <x v="485"/>
    <x v="457"/>
    <x v="476"/>
  </r>
  <r>
    <s v="Multi-Statistics"/>
    <x v="23"/>
    <x v="17"/>
    <x v="17"/>
    <x v="17"/>
    <x v="17"/>
  </r>
  <r>
    <s v="Multi-Statistics"/>
    <x v="23"/>
    <x v="33"/>
    <x v="33"/>
    <x v="33"/>
    <x v="33"/>
  </r>
  <r>
    <s v="Multi-Statistics"/>
    <x v="23"/>
    <x v="487"/>
    <x v="486"/>
    <x v="458"/>
    <x v="477"/>
  </r>
  <r>
    <s v="Multi-Statistics"/>
    <x v="23"/>
    <x v="488"/>
    <x v="487"/>
    <x v="459"/>
    <x v="478"/>
  </r>
  <r>
    <s v="Poll_Consensus_2"/>
    <x v="24"/>
    <x v="273"/>
    <x v="273"/>
    <x v="273"/>
    <x v="268"/>
  </r>
  <r>
    <s v="Poll_Consensus_3"/>
    <x v="25"/>
    <x v="489"/>
    <x v="488"/>
    <x v="460"/>
    <x v="479"/>
  </r>
  <r>
    <s v="Poll_Consensus_4"/>
    <x v="25"/>
    <x v="490"/>
    <x v="489"/>
    <x v="461"/>
    <x v="480"/>
  </r>
  <r>
    <s v="Poll_Consensus_5"/>
    <x v="25"/>
    <x v="491"/>
    <x v="490"/>
    <x v="462"/>
    <x v="481"/>
  </r>
  <r>
    <s v="Poll_Consensus_6"/>
    <x v="25"/>
    <x v="492"/>
    <x v="491"/>
    <x v="463"/>
    <x v="482"/>
  </r>
  <r>
    <s v="Poll_Consensus_7"/>
    <x v="25"/>
    <x v="493"/>
    <x v="492"/>
    <x v="464"/>
    <x v="483"/>
  </r>
  <r>
    <s v="Poll_Consensus_8"/>
    <x v="25"/>
    <x v="494"/>
    <x v="493"/>
    <x v="465"/>
    <x v="484"/>
  </r>
  <r>
    <s v="Poll_Consensus_9"/>
    <x v="25"/>
    <x v="495"/>
    <x v="494"/>
    <x v="466"/>
    <x v="485"/>
  </r>
  <r>
    <s v="Poll_Consensus_10"/>
    <x v="25"/>
    <x v="496"/>
    <x v="495"/>
    <x v="467"/>
    <x v="486"/>
  </r>
  <r>
    <s v="Poll_Consensus_11"/>
    <x v="25"/>
    <x v="497"/>
    <x v="496"/>
    <x v="468"/>
    <x v="487"/>
  </r>
  <r>
    <s v="Poll_Consensus_12"/>
    <x v="25"/>
    <x v="498"/>
    <x v="497"/>
    <x v="469"/>
    <x v="488"/>
  </r>
  <r>
    <s v="Poll_Consensus_13"/>
    <x v="25"/>
    <x v="499"/>
    <x v="498"/>
    <x v="470"/>
    <x v="489"/>
  </r>
  <r>
    <s v="Poll_Consensus_14"/>
    <x v="25"/>
    <x v="500"/>
    <x v="499"/>
    <x v="471"/>
    <x v="490"/>
  </r>
  <r>
    <s v="Poll_Contributor"/>
    <x v="26"/>
    <x v="489"/>
    <x v="488"/>
    <x v="460"/>
    <x v="479"/>
  </r>
  <r>
    <s v="Poll_Contributor"/>
    <x v="26"/>
    <x v="501"/>
    <x v="500"/>
    <x v="472"/>
    <x v="491"/>
  </r>
  <r>
    <s v="Poll_Contributor"/>
    <x v="26"/>
    <x v="502"/>
    <x v="501"/>
    <x v="473"/>
    <x v="492"/>
  </r>
  <r>
    <s v="Single-Statistics"/>
    <x v="27"/>
    <x v="1"/>
    <x v="1"/>
    <x v="1"/>
    <x v="1"/>
  </r>
  <r>
    <s v="Single-Statistics"/>
    <x v="27"/>
    <x v="503"/>
    <x v="502"/>
    <x v="474"/>
    <x v="493"/>
  </r>
  <r>
    <s v="Single-Statistics"/>
    <x v="27"/>
    <x v="10"/>
    <x v="10"/>
    <x v="10"/>
    <x v="10"/>
  </r>
  <r>
    <s v="Single-Statistics"/>
    <x v="27"/>
    <x v="266"/>
    <x v="266"/>
    <x v="266"/>
    <x v="261"/>
  </r>
  <r>
    <s v="Single-Statistics"/>
    <x v="27"/>
    <x v="14"/>
    <x v="14"/>
    <x v="14"/>
    <x v="14"/>
  </r>
  <r>
    <s v="Single-Statistics"/>
    <x v="27"/>
    <x v="15"/>
    <x v="15"/>
    <x v="15"/>
    <x v="15"/>
  </r>
  <r>
    <s v="Single-Statistics"/>
    <x v="27"/>
    <x v="16"/>
    <x v="16"/>
    <x v="16"/>
    <x v="16"/>
  </r>
  <r>
    <s v="Single-Statistics"/>
    <x v="27"/>
    <x v="17"/>
    <x v="17"/>
    <x v="17"/>
    <x v="17"/>
  </r>
  <r>
    <s v="Single-Statistics"/>
    <x v="27"/>
    <x v="33"/>
    <x v="33"/>
    <x v="33"/>
    <x v="33"/>
  </r>
  <r>
    <s v="Single-Statistics"/>
    <x v="27"/>
    <x v="504"/>
    <x v="503"/>
    <x v="475"/>
    <x v="494"/>
  </r>
  <r>
    <s v="Single-Statistics"/>
    <x v="27"/>
    <x v="505"/>
    <x v="504"/>
    <x v="476"/>
    <x v="495"/>
  </r>
  <r>
    <s v="Single-Statistics"/>
    <x v="27"/>
    <x v="506"/>
    <x v="505"/>
    <x v="477"/>
    <x v="496"/>
  </r>
  <r>
    <s v="Single-Statistics"/>
    <x v="27"/>
    <x v="487"/>
    <x v="486"/>
    <x v="458"/>
    <x v="477"/>
  </r>
  <r>
    <s v="Single-Statistics"/>
    <x v="27"/>
    <x v="507"/>
    <x v="506"/>
    <x v="478"/>
    <x v="497"/>
  </r>
  <r>
    <s v="Single-Statistics"/>
    <x v="27"/>
    <x v="508"/>
    <x v="507"/>
    <x v="479"/>
    <x v="498"/>
  </r>
  <r>
    <s v="Single-Statistics"/>
    <x v="27"/>
    <x v="509"/>
    <x v="508"/>
    <x v="480"/>
    <x v="499"/>
  </r>
  <r>
    <s v="Single-Statistics"/>
    <x v="27"/>
    <x v="510"/>
    <x v="509"/>
    <x v="481"/>
    <x v="500"/>
  </r>
  <r>
    <s v="Single-Statistics"/>
    <x v="27"/>
    <x v="511"/>
    <x v="510"/>
    <x v="482"/>
    <x v="501"/>
  </r>
  <r>
    <s v="Single-Statistics"/>
    <x v="27"/>
    <x v="512"/>
    <x v="511"/>
    <x v="483"/>
    <x v="502"/>
  </r>
  <r>
    <s v="Single-Statistics"/>
    <x v="27"/>
    <x v="513"/>
    <x v="512"/>
    <x v="484"/>
    <x v="503"/>
  </r>
  <r>
    <s v="Single-Statistics"/>
    <x v="27"/>
    <x v="514"/>
    <x v="513"/>
    <x v="485"/>
    <x v="504"/>
  </r>
  <r>
    <s v="Single-Statistics"/>
    <x v="27"/>
    <x v="515"/>
    <x v="514"/>
    <x v="486"/>
    <x v="505"/>
  </r>
  <r>
    <s v="Single-Statistics"/>
    <x v="27"/>
    <x v="516"/>
    <x v="515"/>
    <x v="487"/>
    <x v="506"/>
  </r>
  <r>
    <s v="Single-Statistics"/>
    <x v="27"/>
    <x v="517"/>
    <x v="516"/>
    <x v="488"/>
    <x v="507"/>
  </r>
  <r>
    <s v="Single-Statistics"/>
    <x v="27"/>
    <x v="518"/>
    <x v="517"/>
    <x v="489"/>
    <x v="508"/>
  </r>
  <r>
    <s v="Single-Statistics"/>
    <x v="27"/>
    <x v="519"/>
    <x v="518"/>
    <x v="490"/>
    <x v="509"/>
  </r>
  <r>
    <s v="Single-Statistics"/>
    <x v="27"/>
    <x v="520"/>
    <x v="519"/>
    <x v="491"/>
    <x v="510"/>
  </r>
  <r>
    <s v="Single-Statistics"/>
    <x v="27"/>
    <x v="521"/>
    <x v="520"/>
    <x v="492"/>
    <x v="511"/>
  </r>
  <r>
    <s v="Single-Statistics"/>
    <x v="27"/>
    <x v="522"/>
    <x v="521"/>
    <x v="493"/>
    <x v="512"/>
  </r>
  <r>
    <s v="Single-Statistics"/>
    <x v="27"/>
    <x v="523"/>
    <x v="522"/>
    <x v="494"/>
    <x v="513"/>
  </r>
  <r>
    <s v="CDS_Index"/>
    <x v="28"/>
    <x v="4"/>
    <x v="4"/>
    <x v="4"/>
    <x v="4"/>
  </r>
  <r>
    <s v="CDS_Index"/>
    <x v="28"/>
    <x v="5"/>
    <x v="5"/>
    <x v="5"/>
    <x v="5"/>
  </r>
  <r>
    <s v="CDS_Index"/>
    <x v="28"/>
    <x v="6"/>
    <x v="6"/>
    <x v="6"/>
    <x v="6"/>
  </r>
  <r>
    <s v="CDS_Index"/>
    <x v="28"/>
    <x v="205"/>
    <x v="205"/>
    <x v="205"/>
    <x v="201"/>
  </r>
  <r>
    <s v="CDS_Index"/>
    <x v="28"/>
    <x v="206"/>
    <x v="206"/>
    <x v="206"/>
    <x v="202"/>
  </r>
  <r>
    <s v="CDS_Index"/>
    <x v="28"/>
    <x v="265"/>
    <x v="265"/>
    <x v="265"/>
    <x v="260"/>
  </r>
  <r>
    <s v="CDS_Index"/>
    <x v="28"/>
    <x v="411"/>
    <x v="410"/>
    <x v="382"/>
    <x v="402"/>
  </r>
  <r>
    <s v="CDS_Index"/>
    <x v="28"/>
    <x v="412"/>
    <x v="411"/>
    <x v="383"/>
    <x v="403"/>
  </r>
  <r>
    <s v="CDS_Index"/>
    <x v="28"/>
    <x v="413"/>
    <x v="412"/>
    <x v="384"/>
    <x v="404"/>
  </r>
  <r>
    <s v="CDS_Index"/>
    <x v="28"/>
    <x v="359"/>
    <x v="359"/>
    <x v="359"/>
    <x v="350"/>
  </r>
  <r>
    <s v="CDS_Index"/>
    <x v="28"/>
    <x v="275"/>
    <x v="275"/>
    <x v="275"/>
    <x v="270"/>
  </r>
  <r>
    <s v="CDS_Index"/>
    <x v="28"/>
    <x v="276"/>
    <x v="276"/>
    <x v="276"/>
    <x v="271"/>
  </r>
  <r>
    <s v="CDS_Index"/>
    <x v="28"/>
    <x v="277"/>
    <x v="277"/>
    <x v="277"/>
    <x v="272"/>
  </r>
  <r>
    <s v="CDS_Index"/>
    <x v="28"/>
    <x v="524"/>
    <x v="523"/>
    <x v="495"/>
    <x v="514"/>
  </r>
  <r>
    <s v="CDS_Index"/>
    <x v="28"/>
    <x v="525"/>
    <x v="524"/>
    <x v="496"/>
    <x v="515"/>
  </r>
  <r>
    <s v="CDS_Index"/>
    <x v="28"/>
    <x v="526"/>
    <x v="525"/>
    <x v="497"/>
    <x v="516"/>
  </r>
  <r>
    <s v="CDS_Index"/>
    <x v="28"/>
    <x v="527"/>
    <x v="526"/>
    <x v="498"/>
    <x v="517"/>
  </r>
  <r>
    <s v="CDS_Index"/>
    <x v="28"/>
    <x v="528"/>
    <x v="527"/>
    <x v="499"/>
    <x v="518"/>
  </r>
  <r>
    <s v="CDS_Index_Tranche"/>
    <x v="29"/>
    <x v="6"/>
    <x v="6"/>
    <x v="6"/>
    <x v="6"/>
  </r>
  <r>
    <s v="CDS_Index_Tranche"/>
    <x v="29"/>
    <x v="148"/>
    <x v="148"/>
    <x v="148"/>
    <x v="144"/>
  </r>
  <r>
    <s v="CDS_Index_Tranche"/>
    <x v="29"/>
    <x v="265"/>
    <x v="265"/>
    <x v="265"/>
    <x v="260"/>
  </r>
  <r>
    <s v="CDS_Index_Tranche"/>
    <x v="29"/>
    <x v="529"/>
    <x v="528"/>
    <x v="500"/>
    <x v="519"/>
  </r>
  <r>
    <s v="CDS_Index_Tranche"/>
    <x v="29"/>
    <x v="530"/>
    <x v="529"/>
    <x v="501"/>
    <x v="520"/>
  </r>
  <r>
    <s v="CDS_Index_Tranche"/>
    <x v="29"/>
    <x v="464"/>
    <x v="463"/>
    <x v="435"/>
    <x v="455"/>
  </r>
  <r>
    <s v="CDS_Single_Company"/>
    <x v="30"/>
    <x v="4"/>
    <x v="4"/>
    <x v="4"/>
    <x v="4"/>
  </r>
  <r>
    <s v="CDS_Single_Company"/>
    <x v="30"/>
    <x v="5"/>
    <x v="5"/>
    <x v="5"/>
    <x v="5"/>
  </r>
  <r>
    <s v="CDS_Single_Company"/>
    <x v="30"/>
    <x v="6"/>
    <x v="6"/>
    <x v="6"/>
    <x v="6"/>
  </r>
  <r>
    <s v="CDS_Single_Company"/>
    <x v="30"/>
    <x v="205"/>
    <x v="205"/>
    <x v="205"/>
    <x v="201"/>
  </r>
  <r>
    <s v="CDS_Single_Company"/>
    <x v="30"/>
    <x v="206"/>
    <x v="206"/>
    <x v="206"/>
    <x v="202"/>
  </r>
  <r>
    <s v="CDS_Single_Company"/>
    <x v="30"/>
    <x v="244"/>
    <x v="244"/>
    <x v="244"/>
    <x v="239"/>
  </r>
  <r>
    <s v="CDS_Single_Company"/>
    <x v="30"/>
    <x v="264"/>
    <x v="264"/>
    <x v="264"/>
    <x v="259"/>
  </r>
  <r>
    <s v="CDS_Single_Company"/>
    <x v="30"/>
    <x v="245"/>
    <x v="245"/>
    <x v="245"/>
    <x v="240"/>
  </r>
  <r>
    <s v="CDS_Single_Company"/>
    <x v="30"/>
    <x v="267"/>
    <x v="267"/>
    <x v="267"/>
    <x v="262"/>
  </r>
  <r>
    <s v="CDS_Single_Company"/>
    <x v="30"/>
    <x v="14"/>
    <x v="14"/>
    <x v="14"/>
    <x v="14"/>
  </r>
  <r>
    <s v="CDS_Single_Company"/>
    <x v="30"/>
    <x v="15"/>
    <x v="15"/>
    <x v="15"/>
    <x v="15"/>
  </r>
  <r>
    <s v="CDS_Single_Company"/>
    <x v="30"/>
    <x v="16"/>
    <x v="16"/>
    <x v="16"/>
    <x v="16"/>
  </r>
  <r>
    <s v="CDS_Single_Company"/>
    <x v="30"/>
    <x v="359"/>
    <x v="359"/>
    <x v="359"/>
    <x v="350"/>
  </r>
  <r>
    <s v="CDS_Single_Company"/>
    <x v="30"/>
    <x v="524"/>
    <x v="523"/>
    <x v="495"/>
    <x v="514"/>
  </r>
  <r>
    <s v="CDS_Single_Company"/>
    <x v="30"/>
    <x v="525"/>
    <x v="524"/>
    <x v="496"/>
    <x v="515"/>
  </r>
  <r>
    <s v="CDS_Single_Company"/>
    <x v="30"/>
    <x v="531"/>
    <x v="530"/>
    <x v="502"/>
    <x v="521"/>
  </r>
  <r>
    <s v="CDS_Single_Company"/>
    <x v="30"/>
    <x v="532"/>
    <x v="531"/>
    <x v="503"/>
    <x v="522"/>
  </r>
  <r>
    <s v="CDS_Single_Company"/>
    <x v="30"/>
    <x v="533"/>
    <x v="532"/>
    <x v="504"/>
    <x v="523"/>
  </r>
  <r>
    <s v="CDS_Single_Company"/>
    <x v="30"/>
    <x v="534"/>
    <x v="533"/>
    <x v="505"/>
    <x v="524"/>
  </r>
  <r>
    <s v="CDS_Single_Company"/>
    <x v="30"/>
    <x v="535"/>
    <x v="534"/>
    <x v="506"/>
    <x v="525"/>
  </r>
  <r>
    <s v="Futures"/>
    <x v="31"/>
    <x v="0"/>
    <x v="0"/>
    <x v="0"/>
    <x v="0"/>
  </r>
  <r>
    <s v="Futures"/>
    <x v="31"/>
    <x v="1"/>
    <x v="1"/>
    <x v="1"/>
    <x v="1"/>
  </r>
  <r>
    <s v="Futures"/>
    <x v="31"/>
    <x v="2"/>
    <x v="2"/>
    <x v="2"/>
    <x v="2"/>
  </r>
  <r>
    <s v="Futures"/>
    <x v="31"/>
    <x v="3"/>
    <x v="3"/>
    <x v="3"/>
    <x v="3"/>
  </r>
  <r>
    <s v="Futures"/>
    <x v="31"/>
    <x v="142"/>
    <x v="142"/>
    <x v="142"/>
    <x v="138"/>
  </r>
  <r>
    <s v="Futures"/>
    <x v="31"/>
    <x v="4"/>
    <x v="4"/>
    <x v="4"/>
    <x v="4"/>
  </r>
  <r>
    <s v="Futures"/>
    <x v="31"/>
    <x v="5"/>
    <x v="5"/>
    <x v="5"/>
    <x v="5"/>
  </r>
  <r>
    <s v="Futures"/>
    <x v="31"/>
    <x v="6"/>
    <x v="6"/>
    <x v="6"/>
    <x v="6"/>
  </r>
  <r>
    <s v="Futures"/>
    <x v="31"/>
    <x v="7"/>
    <x v="7"/>
    <x v="7"/>
    <x v="7"/>
  </r>
  <r>
    <s v="Futures"/>
    <x v="31"/>
    <x v="503"/>
    <x v="502"/>
    <x v="474"/>
    <x v="493"/>
  </r>
  <r>
    <s v="Futures"/>
    <x v="31"/>
    <x v="536"/>
    <x v="535"/>
    <x v="507"/>
    <x v="526"/>
  </r>
  <r>
    <s v="Futures"/>
    <x v="31"/>
    <x v="537"/>
    <x v="536"/>
    <x v="508"/>
    <x v="527"/>
  </r>
  <r>
    <s v="Futures"/>
    <x v="31"/>
    <x v="538"/>
    <x v="537"/>
    <x v="509"/>
    <x v="528"/>
  </r>
  <r>
    <s v="Futures"/>
    <x v="31"/>
    <x v="14"/>
    <x v="14"/>
    <x v="14"/>
    <x v="14"/>
  </r>
  <r>
    <s v="Futures"/>
    <x v="31"/>
    <x v="15"/>
    <x v="15"/>
    <x v="15"/>
    <x v="15"/>
  </r>
  <r>
    <s v="Futures"/>
    <x v="31"/>
    <x v="16"/>
    <x v="16"/>
    <x v="16"/>
    <x v="16"/>
  </r>
  <r>
    <s v="Futures"/>
    <x v="31"/>
    <x v="17"/>
    <x v="17"/>
    <x v="17"/>
    <x v="17"/>
  </r>
  <r>
    <s v="Futures"/>
    <x v="31"/>
    <x v="18"/>
    <x v="18"/>
    <x v="18"/>
    <x v="18"/>
  </r>
  <r>
    <s v="Futures"/>
    <x v="31"/>
    <x v="19"/>
    <x v="19"/>
    <x v="19"/>
    <x v="19"/>
  </r>
  <r>
    <s v="Futures"/>
    <x v="31"/>
    <x v="22"/>
    <x v="22"/>
    <x v="22"/>
    <x v="22"/>
  </r>
  <r>
    <s v="Futures"/>
    <x v="31"/>
    <x v="442"/>
    <x v="441"/>
    <x v="413"/>
    <x v="433"/>
  </r>
  <r>
    <s v="Futures"/>
    <x v="31"/>
    <x v="443"/>
    <x v="442"/>
    <x v="414"/>
    <x v="434"/>
  </r>
  <r>
    <s v="Futures"/>
    <x v="31"/>
    <x v="24"/>
    <x v="24"/>
    <x v="24"/>
    <x v="24"/>
  </r>
  <r>
    <s v="Futures"/>
    <x v="31"/>
    <x v="34"/>
    <x v="34"/>
    <x v="34"/>
    <x v="34"/>
  </r>
  <r>
    <s v="Futures"/>
    <x v="31"/>
    <x v="539"/>
    <x v="538"/>
    <x v="510"/>
    <x v="529"/>
  </r>
  <r>
    <s v="Futures"/>
    <x v="31"/>
    <x v="540"/>
    <x v="539"/>
    <x v="511"/>
    <x v="530"/>
  </r>
  <r>
    <s v="Futures"/>
    <x v="31"/>
    <x v="541"/>
    <x v="540"/>
    <x v="512"/>
    <x v="531"/>
  </r>
  <r>
    <s v="Futures"/>
    <x v="31"/>
    <x v="35"/>
    <x v="35"/>
    <x v="35"/>
    <x v="35"/>
  </r>
  <r>
    <s v="Futures"/>
    <x v="31"/>
    <x v="36"/>
    <x v="36"/>
    <x v="36"/>
    <x v="36"/>
  </r>
  <r>
    <s v="Futures"/>
    <x v="31"/>
    <x v="37"/>
    <x v="37"/>
    <x v="37"/>
    <x v="37"/>
  </r>
  <r>
    <s v="Futures"/>
    <x v="31"/>
    <x v="38"/>
    <x v="38"/>
    <x v="38"/>
    <x v="38"/>
  </r>
  <r>
    <s v="Futures"/>
    <x v="31"/>
    <x v="542"/>
    <x v="541"/>
    <x v="513"/>
    <x v="532"/>
  </r>
  <r>
    <s v="Futures"/>
    <x v="31"/>
    <x v="39"/>
    <x v="39"/>
    <x v="39"/>
    <x v="39"/>
  </r>
  <r>
    <s v="Futures"/>
    <x v="31"/>
    <x v="40"/>
    <x v="40"/>
    <x v="40"/>
    <x v="40"/>
  </r>
  <r>
    <s v="Futures"/>
    <x v="31"/>
    <x v="504"/>
    <x v="503"/>
    <x v="475"/>
    <x v="494"/>
  </r>
  <r>
    <s v="Futures"/>
    <x v="31"/>
    <x v="505"/>
    <x v="504"/>
    <x v="476"/>
    <x v="495"/>
  </r>
  <r>
    <s v="Futures"/>
    <x v="31"/>
    <x v="506"/>
    <x v="505"/>
    <x v="477"/>
    <x v="496"/>
  </r>
  <r>
    <s v="Futures"/>
    <x v="31"/>
    <x v="543"/>
    <x v="542"/>
    <x v="514"/>
    <x v="533"/>
  </r>
  <r>
    <s v="Futures"/>
    <x v="31"/>
    <x v="544"/>
    <x v="543"/>
    <x v="515"/>
    <x v="534"/>
  </r>
  <r>
    <s v="Futures"/>
    <x v="31"/>
    <x v="545"/>
    <x v="544"/>
    <x v="516"/>
    <x v="535"/>
  </r>
  <r>
    <s v="Futures"/>
    <x v="31"/>
    <x v="546"/>
    <x v="545"/>
    <x v="517"/>
    <x v="536"/>
  </r>
  <r>
    <s v="Futures"/>
    <x v="31"/>
    <x v="547"/>
    <x v="546"/>
    <x v="518"/>
    <x v="537"/>
  </r>
  <r>
    <s v="Futures"/>
    <x v="31"/>
    <x v="548"/>
    <x v="547"/>
    <x v="519"/>
    <x v="538"/>
  </r>
  <r>
    <s v="Futures"/>
    <x v="31"/>
    <x v="549"/>
    <x v="46"/>
    <x v="46"/>
    <x v="539"/>
  </r>
  <r>
    <s v="Futures"/>
    <x v="31"/>
    <x v="550"/>
    <x v="548"/>
    <x v="520"/>
    <x v="540"/>
  </r>
  <r>
    <s v="Futures"/>
    <x v="31"/>
    <x v="551"/>
    <x v="549"/>
    <x v="521"/>
    <x v="541"/>
  </r>
  <r>
    <s v="Futures"/>
    <x v="31"/>
    <x v="552"/>
    <x v="550"/>
    <x v="522"/>
    <x v="542"/>
  </r>
  <r>
    <s v="Futures"/>
    <x v="31"/>
    <x v="553"/>
    <x v="551"/>
    <x v="523"/>
    <x v="543"/>
  </r>
  <r>
    <s v="Futures"/>
    <x v="31"/>
    <x v="554"/>
    <x v="552"/>
    <x v="524"/>
    <x v="544"/>
  </r>
  <r>
    <s v="Options"/>
    <x v="32"/>
    <x v="0"/>
    <x v="0"/>
    <x v="0"/>
    <x v="0"/>
  </r>
  <r>
    <s v="Options"/>
    <x v="32"/>
    <x v="1"/>
    <x v="1"/>
    <x v="1"/>
    <x v="1"/>
  </r>
  <r>
    <s v="Options"/>
    <x v="32"/>
    <x v="2"/>
    <x v="2"/>
    <x v="2"/>
    <x v="2"/>
  </r>
  <r>
    <s v="Options"/>
    <x v="32"/>
    <x v="3"/>
    <x v="3"/>
    <x v="3"/>
    <x v="3"/>
  </r>
  <r>
    <s v="Options"/>
    <x v="32"/>
    <x v="4"/>
    <x v="4"/>
    <x v="4"/>
    <x v="4"/>
  </r>
  <r>
    <s v="Options"/>
    <x v="32"/>
    <x v="5"/>
    <x v="5"/>
    <x v="5"/>
    <x v="5"/>
  </r>
  <r>
    <s v="Options"/>
    <x v="32"/>
    <x v="6"/>
    <x v="6"/>
    <x v="6"/>
    <x v="6"/>
  </r>
  <r>
    <s v="Options"/>
    <x v="32"/>
    <x v="7"/>
    <x v="7"/>
    <x v="7"/>
    <x v="7"/>
  </r>
  <r>
    <s v="Options"/>
    <x v="32"/>
    <x v="503"/>
    <x v="502"/>
    <x v="474"/>
    <x v="493"/>
  </r>
  <r>
    <s v="Options"/>
    <x v="32"/>
    <x v="148"/>
    <x v="148"/>
    <x v="148"/>
    <x v="144"/>
  </r>
  <r>
    <s v="Options"/>
    <x v="32"/>
    <x v="149"/>
    <x v="149"/>
    <x v="149"/>
    <x v="145"/>
  </r>
  <r>
    <s v="Options"/>
    <x v="32"/>
    <x v="462"/>
    <x v="461"/>
    <x v="433"/>
    <x v="453"/>
  </r>
  <r>
    <s v="Options"/>
    <x v="32"/>
    <x v="536"/>
    <x v="535"/>
    <x v="507"/>
    <x v="526"/>
  </r>
  <r>
    <s v="Options"/>
    <x v="32"/>
    <x v="150"/>
    <x v="150"/>
    <x v="150"/>
    <x v="146"/>
  </r>
  <r>
    <s v="Options"/>
    <x v="32"/>
    <x v="151"/>
    <x v="151"/>
    <x v="151"/>
    <x v="147"/>
  </r>
  <r>
    <s v="Options"/>
    <x v="32"/>
    <x v="529"/>
    <x v="528"/>
    <x v="500"/>
    <x v="519"/>
  </r>
  <r>
    <s v="Options"/>
    <x v="32"/>
    <x v="530"/>
    <x v="529"/>
    <x v="501"/>
    <x v="520"/>
  </r>
  <r>
    <s v="Options"/>
    <x v="32"/>
    <x v="14"/>
    <x v="14"/>
    <x v="14"/>
    <x v="14"/>
  </r>
  <r>
    <s v="Options"/>
    <x v="32"/>
    <x v="15"/>
    <x v="15"/>
    <x v="15"/>
    <x v="15"/>
  </r>
  <r>
    <s v="Options"/>
    <x v="32"/>
    <x v="16"/>
    <x v="16"/>
    <x v="16"/>
    <x v="16"/>
  </r>
  <r>
    <s v="Options"/>
    <x v="32"/>
    <x v="17"/>
    <x v="17"/>
    <x v="17"/>
    <x v="17"/>
  </r>
  <r>
    <s v="Options"/>
    <x v="32"/>
    <x v="19"/>
    <x v="19"/>
    <x v="19"/>
    <x v="19"/>
  </r>
  <r>
    <s v="Options"/>
    <x v="32"/>
    <x v="21"/>
    <x v="21"/>
    <x v="21"/>
    <x v="21"/>
  </r>
  <r>
    <s v="Options"/>
    <x v="32"/>
    <x v="22"/>
    <x v="22"/>
    <x v="22"/>
    <x v="22"/>
  </r>
  <r>
    <s v="Options"/>
    <x v="32"/>
    <x v="24"/>
    <x v="24"/>
    <x v="24"/>
    <x v="24"/>
  </r>
  <r>
    <s v="Options"/>
    <x v="32"/>
    <x v="539"/>
    <x v="538"/>
    <x v="510"/>
    <x v="529"/>
  </r>
  <r>
    <s v="Options"/>
    <x v="32"/>
    <x v="540"/>
    <x v="539"/>
    <x v="511"/>
    <x v="530"/>
  </r>
  <r>
    <s v="Options"/>
    <x v="32"/>
    <x v="541"/>
    <x v="540"/>
    <x v="512"/>
    <x v="531"/>
  </r>
  <r>
    <s v="Options"/>
    <x v="32"/>
    <x v="542"/>
    <x v="541"/>
    <x v="513"/>
    <x v="532"/>
  </r>
  <r>
    <s v="Options"/>
    <x v="32"/>
    <x v="46"/>
    <x v="46"/>
    <x v="46"/>
    <x v="46"/>
  </r>
  <r>
    <s v="Options"/>
    <x v="32"/>
    <x v="458"/>
    <x v="457"/>
    <x v="429"/>
    <x v="449"/>
  </r>
  <r>
    <s v="Options"/>
    <x v="32"/>
    <x v="545"/>
    <x v="544"/>
    <x v="516"/>
    <x v="535"/>
  </r>
  <r>
    <s v="Options"/>
    <x v="32"/>
    <x v="555"/>
    <x v="553"/>
    <x v="525"/>
    <x v="545"/>
  </r>
  <r>
    <s v="Options"/>
    <x v="32"/>
    <x v="556"/>
    <x v="554"/>
    <x v="526"/>
    <x v="546"/>
  </r>
  <r>
    <s v="Options"/>
    <x v="32"/>
    <x v="557"/>
    <x v="555"/>
    <x v="527"/>
    <x v="547"/>
  </r>
  <r>
    <s v="Options"/>
    <x v="32"/>
    <x v="558"/>
    <x v="556"/>
    <x v="528"/>
    <x v="548"/>
  </r>
  <r>
    <s v="Options"/>
    <x v="32"/>
    <x v="559"/>
    <x v="557"/>
    <x v="529"/>
    <x v="549"/>
  </r>
  <r>
    <s v="Options"/>
    <x v="32"/>
    <x v="560"/>
    <x v="558"/>
    <x v="530"/>
    <x v="550"/>
  </r>
  <r>
    <s v="Options"/>
    <x v="32"/>
    <x v="561"/>
    <x v="559"/>
    <x v="531"/>
    <x v="551"/>
  </r>
  <r>
    <s v="Options"/>
    <x v="32"/>
    <x v="562"/>
    <x v="560"/>
    <x v="532"/>
    <x v="552"/>
  </r>
  <r>
    <s v="Options"/>
    <x v="32"/>
    <x v="563"/>
    <x v="561"/>
    <x v="533"/>
    <x v="553"/>
  </r>
  <r>
    <s v="Options"/>
    <x v="32"/>
    <x v="564"/>
    <x v="562"/>
    <x v="534"/>
    <x v="554"/>
  </r>
  <r>
    <s v="Options"/>
    <x v="32"/>
    <x v="565"/>
    <x v="563"/>
    <x v="535"/>
    <x v="555"/>
  </r>
  <r>
    <s v="Spreads"/>
    <x v="33"/>
    <x v="0"/>
    <x v="0"/>
    <x v="0"/>
    <x v="0"/>
  </r>
  <r>
    <s v="Spreads"/>
    <x v="33"/>
    <x v="1"/>
    <x v="1"/>
    <x v="1"/>
    <x v="1"/>
  </r>
  <r>
    <s v="Spreads"/>
    <x v="33"/>
    <x v="2"/>
    <x v="2"/>
    <x v="2"/>
    <x v="2"/>
  </r>
  <r>
    <s v="Spreads"/>
    <x v="33"/>
    <x v="3"/>
    <x v="3"/>
    <x v="3"/>
    <x v="3"/>
  </r>
  <r>
    <s v="Spreads"/>
    <x v="33"/>
    <x v="4"/>
    <x v="4"/>
    <x v="4"/>
    <x v="4"/>
  </r>
  <r>
    <s v="Spreads"/>
    <x v="33"/>
    <x v="5"/>
    <x v="5"/>
    <x v="5"/>
    <x v="5"/>
  </r>
  <r>
    <s v="Spreads"/>
    <x v="33"/>
    <x v="6"/>
    <x v="6"/>
    <x v="6"/>
    <x v="6"/>
  </r>
  <r>
    <s v="Spreads"/>
    <x v="33"/>
    <x v="7"/>
    <x v="7"/>
    <x v="7"/>
    <x v="7"/>
  </r>
  <r>
    <s v="Spreads"/>
    <x v="33"/>
    <x v="163"/>
    <x v="163"/>
    <x v="163"/>
    <x v="159"/>
  </r>
  <r>
    <s v="Spreads"/>
    <x v="33"/>
    <x v="164"/>
    <x v="164"/>
    <x v="164"/>
    <x v="160"/>
  </r>
  <r>
    <s v="Spreads"/>
    <x v="33"/>
    <x v="503"/>
    <x v="502"/>
    <x v="474"/>
    <x v="493"/>
  </r>
  <r>
    <s v="Spreads"/>
    <x v="33"/>
    <x v="537"/>
    <x v="536"/>
    <x v="508"/>
    <x v="527"/>
  </r>
  <r>
    <s v="Spreads"/>
    <x v="33"/>
    <x v="14"/>
    <x v="14"/>
    <x v="14"/>
    <x v="14"/>
  </r>
  <r>
    <s v="Spreads"/>
    <x v="33"/>
    <x v="15"/>
    <x v="15"/>
    <x v="15"/>
    <x v="15"/>
  </r>
  <r>
    <s v="Spreads"/>
    <x v="33"/>
    <x v="16"/>
    <x v="16"/>
    <x v="16"/>
    <x v="16"/>
  </r>
  <r>
    <s v="Spreads"/>
    <x v="33"/>
    <x v="17"/>
    <x v="17"/>
    <x v="17"/>
    <x v="17"/>
  </r>
  <r>
    <s v="Spreads"/>
    <x v="33"/>
    <x v="19"/>
    <x v="19"/>
    <x v="19"/>
    <x v="19"/>
  </r>
  <r>
    <s v="Spreads"/>
    <x v="33"/>
    <x v="22"/>
    <x v="22"/>
    <x v="22"/>
    <x v="22"/>
  </r>
  <r>
    <s v="Spreads"/>
    <x v="33"/>
    <x v="24"/>
    <x v="24"/>
    <x v="24"/>
    <x v="24"/>
  </r>
  <r>
    <s v="Spreads"/>
    <x v="33"/>
    <x v="539"/>
    <x v="538"/>
    <x v="510"/>
    <x v="529"/>
  </r>
  <r>
    <s v="Spreads"/>
    <x v="33"/>
    <x v="540"/>
    <x v="539"/>
    <x v="511"/>
    <x v="530"/>
  </r>
  <r>
    <s v="Spreads"/>
    <x v="33"/>
    <x v="541"/>
    <x v="540"/>
    <x v="512"/>
    <x v="531"/>
  </r>
  <r>
    <s v="Spreads"/>
    <x v="33"/>
    <x v="35"/>
    <x v="35"/>
    <x v="35"/>
    <x v="35"/>
  </r>
  <r>
    <s v="Spreads"/>
    <x v="33"/>
    <x v="36"/>
    <x v="36"/>
    <x v="36"/>
    <x v="36"/>
  </r>
  <r>
    <s v="Spreads"/>
    <x v="33"/>
    <x v="37"/>
    <x v="37"/>
    <x v="37"/>
    <x v="37"/>
  </r>
  <r>
    <s v="Spreads"/>
    <x v="33"/>
    <x v="38"/>
    <x v="38"/>
    <x v="38"/>
    <x v="38"/>
  </r>
  <r>
    <s v="Spreads"/>
    <x v="33"/>
    <x v="542"/>
    <x v="541"/>
    <x v="513"/>
    <x v="532"/>
  </r>
  <r>
    <s v="Spreads"/>
    <x v="33"/>
    <x v="39"/>
    <x v="39"/>
    <x v="39"/>
    <x v="39"/>
  </r>
  <r>
    <s v="Spreads"/>
    <x v="33"/>
    <x v="40"/>
    <x v="40"/>
    <x v="40"/>
    <x v="40"/>
  </r>
  <r>
    <s v="Spreads"/>
    <x v="33"/>
    <x v="504"/>
    <x v="503"/>
    <x v="475"/>
    <x v="494"/>
  </r>
  <r>
    <s v="Spreads"/>
    <x v="33"/>
    <x v="505"/>
    <x v="504"/>
    <x v="476"/>
    <x v="495"/>
  </r>
  <r>
    <s v="Spreads"/>
    <x v="33"/>
    <x v="506"/>
    <x v="505"/>
    <x v="477"/>
    <x v="496"/>
  </r>
  <r>
    <s v="Spreads"/>
    <x v="33"/>
    <x v="46"/>
    <x v="46"/>
    <x v="46"/>
    <x v="46"/>
  </r>
  <r>
    <s v="Spreads"/>
    <x v="33"/>
    <x v="543"/>
    <x v="542"/>
    <x v="514"/>
    <x v="533"/>
  </r>
  <r>
    <s v="Spreads"/>
    <x v="33"/>
    <x v="544"/>
    <x v="543"/>
    <x v="515"/>
    <x v="534"/>
  </r>
  <r>
    <s v="Spreads"/>
    <x v="33"/>
    <x v="566"/>
    <x v="564"/>
    <x v="536"/>
    <x v="556"/>
  </r>
  <r>
    <s v="Spreads"/>
    <x v="33"/>
    <x v="567"/>
    <x v="565"/>
    <x v="537"/>
    <x v="557"/>
  </r>
  <r>
    <s v="Spreads"/>
    <x v="33"/>
    <x v="568"/>
    <x v="566"/>
    <x v="538"/>
    <x v="558"/>
  </r>
  <r>
    <s v="Spreads"/>
    <x v="33"/>
    <x v="569"/>
    <x v="567"/>
    <x v="539"/>
    <x v="559"/>
  </r>
  <r>
    <s v="Commodities_Swap"/>
    <x v="34"/>
    <x v="0"/>
    <x v="0"/>
    <x v="0"/>
    <x v="0"/>
  </r>
  <r>
    <s v="Commodities_Swap"/>
    <x v="34"/>
    <x v="4"/>
    <x v="4"/>
    <x v="4"/>
    <x v="4"/>
  </r>
  <r>
    <s v="Commodities_Swap"/>
    <x v="34"/>
    <x v="5"/>
    <x v="5"/>
    <x v="5"/>
    <x v="5"/>
  </r>
  <r>
    <s v="Commodities_Swap"/>
    <x v="34"/>
    <x v="6"/>
    <x v="6"/>
    <x v="6"/>
    <x v="6"/>
  </r>
  <r>
    <s v="Commodities_Swap"/>
    <x v="34"/>
    <x v="14"/>
    <x v="14"/>
    <x v="14"/>
    <x v="14"/>
  </r>
  <r>
    <s v="Commodities_Swap"/>
    <x v="34"/>
    <x v="15"/>
    <x v="15"/>
    <x v="15"/>
    <x v="15"/>
  </r>
  <r>
    <s v="Commodities_Swap"/>
    <x v="34"/>
    <x v="16"/>
    <x v="16"/>
    <x v="16"/>
    <x v="16"/>
  </r>
  <r>
    <s v="Commodities_Swap"/>
    <x v="34"/>
    <x v="177"/>
    <x v="177"/>
    <x v="177"/>
    <x v="173"/>
  </r>
  <r>
    <s v="Commodities_Swap"/>
    <x v="34"/>
    <x v="411"/>
    <x v="410"/>
    <x v="382"/>
    <x v="402"/>
  </r>
  <r>
    <s v="Commodities_Swap"/>
    <x v="34"/>
    <x v="22"/>
    <x v="22"/>
    <x v="22"/>
    <x v="22"/>
  </r>
  <r>
    <s v="Commodities_Swap"/>
    <x v="34"/>
    <x v="442"/>
    <x v="441"/>
    <x v="413"/>
    <x v="433"/>
  </r>
  <r>
    <s v="Commodities_Swap"/>
    <x v="34"/>
    <x v="443"/>
    <x v="442"/>
    <x v="414"/>
    <x v="434"/>
  </r>
  <r>
    <s v="Commodities_Swap"/>
    <x v="34"/>
    <x v="445"/>
    <x v="444"/>
    <x v="416"/>
    <x v="436"/>
  </r>
  <r>
    <s v="Commodities_Swap"/>
    <x v="34"/>
    <x v="446"/>
    <x v="445"/>
    <x v="417"/>
    <x v="437"/>
  </r>
  <r>
    <s v="Commodities_Swap"/>
    <x v="34"/>
    <x v="447"/>
    <x v="446"/>
    <x v="418"/>
    <x v="438"/>
  </r>
  <r>
    <s v="Commodities_Swap"/>
    <x v="34"/>
    <x v="448"/>
    <x v="447"/>
    <x v="419"/>
    <x v="439"/>
  </r>
  <r>
    <s v="Commodities_Swap"/>
    <x v="34"/>
    <x v="570"/>
    <x v="568"/>
    <x v="540"/>
    <x v="560"/>
  </r>
  <r>
    <s v="Commodities_Swap"/>
    <x v="34"/>
    <x v="571"/>
    <x v="569"/>
    <x v="541"/>
    <x v="561"/>
  </r>
  <r>
    <s v="Commodities_Swap"/>
    <x v="34"/>
    <x v="572"/>
    <x v="570"/>
    <x v="542"/>
    <x v="562"/>
  </r>
  <r>
    <s v="Commodities_Swap"/>
    <x v="34"/>
    <x v="573"/>
    <x v="571"/>
    <x v="543"/>
    <x v="563"/>
  </r>
  <r>
    <s v="Commodities_Swap"/>
    <x v="34"/>
    <x v="295"/>
    <x v="295"/>
    <x v="295"/>
    <x v="290"/>
  </r>
  <r>
    <s v="Commodity_Precious_Metals_Spot"/>
    <x v="35"/>
    <x v="4"/>
    <x v="4"/>
    <x v="4"/>
    <x v="4"/>
  </r>
  <r>
    <s v="Commodity_Precious_Metals_Spot"/>
    <x v="35"/>
    <x v="5"/>
    <x v="5"/>
    <x v="5"/>
    <x v="5"/>
  </r>
  <r>
    <s v="Commodity_Precious_Metals_Spot"/>
    <x v="35"/>
    <x v="6"/>
    <x v="6"/>
    <x v="6"/>
    <x v="6"/>
  </r>
  <r>
    <s v="Commodity_Precious_Metals_Spot"/>
    <x v="35"/>
    <x v="14"/>
    <x v="14"/>
    <x v="14"/>
    <x v="14"/>
  </r>
  <r>
    <s v="Commodity_Precious_Metals_Spot"/>
    <x v="35"/>
    <x v="15"/>
    <x v="15"/>
    <x v="15"/>
    <x v="15"/>
  </r>
  <r>
    <s v="Commodity_Precious_Metals_Spot"/>
    <x v="35"/>
    <x v="177"/>
    <x v="177"/>
    <x v="177"/>
    <x v="173"/>
  </r>
  <r>
    <s v="Commodity_Precious_Metals_Spot"/>
    <x v="35"/>
    <x v="178"/>
    <x v="178"/>
    <x v="178"/>
    <x v="174"/>
  </r>
  <r>
    <s v="Commodity_Precious_Metals_Spot"/>
    <x v="35"/>
    <x v="179"/>
    <x v="179"/>
    <x v="179"/>
    <x v="175"/>
  </r>
  <r>
    <s v="Commodity_Precious_Metals_Spot"/>
    <x v="35"/>
    <x v="411"/>
    <x v="410"/>
    <x v="382"/>
    <x v="402"/>
  </r>
  <r>
    <s v="Commodity_Precious_Metals_Spot"/>
    <x v="35"/>
    <x v="412"/>
    <x v="411"/>
    <x v="383"/>
    <x v="403"/>
  </r>
  <r>
    <s v="Commodity_Precious_Metals_Spot"/>
    <x v="35"/>
    <x v="413"/>
    <x v="412"/>
    <x v="384"/>
    <x v="4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3" cacheId="0" applyNumberFormats="0" applyBorderFormats="0" applyFontFormats="0" applyPatternFormats="0" applyAlignmentFormats="0" applyWidthHeightFormats="1" dataCaption="Values" updatedVersion="8" minRefreshableVersion="3" showCalcMbrs="0" useAutoFormatting="1" rowGrandTotals="0" colGrandTotals="0" itemPrintTitles="1" createdVersion="3" indent="0" compact="0" compactData="0" multipleFieldFilters="0">
  <location ref="A3:E39" firstHeaderRow="1" firstDataRow="1" firstDataCol="5"/>
  <pivotFields count="6">
    <pivotField compact="0" outline="0" showAll="0" defaultSubtotal="0"/>
    <pivotField axis="axisRow" compact="0" outline="0" showAll="0" defaultSubtotal="0">
      <items count="36">
        <item sd="0" x="0"/>
        <item sd="0" x="34"/>
        <item sd="0" x="35"/>
        <item sd="0" x="29"/>
        <item sd="0" x="28"/>
        <item sd="0" x="30"/>
        <item sd="0" x="3"/>
        <item sd="0" x="11"/>
        <item sd="0" x="4"/>
        <item sd="0" x="5"/>
        <item sd="0" x="6"/>
        <item sd="0" x="8"/>
        <item sd="0" x="9"/>
        <item sd="0" x="7"/>
        <item sd="0" x="10"/>
        <item sd="0" x="12"/>
        <item sd="0" x="13"/>
        <item sd="0" x="14"/>
        <item sd="0" x="15"/>
        <item sd="0" x="16"/>
        <item sd="0" x="31"/>
        <item sd="0" x="22"/>
        <item sd="0" x="17"/>
        <item sd="0" x="19"/>
        <item sd="0" x="20"/>
        <item sd="0" x="21"/>
        <item sd="0" x="18"/>
        <item sd="0" x="23"/>
        <item sd="0" x="1"/>
        <item sd="0" x="32"/>
        <item sd="0" x="24"/>
        <item sd="0" x="26"/>
        <item sd="0" x="27"/>
        <item sd="0" x="33"/>
        <item sd="0" x="2"/>
        <item sd="0" x="25"/>
      </items>
    </pivotField>
    <pivotField axis="axisRow" compact="0" outline="0" showAll="0" defaultSubtotal="0">
      <items count="574">
        <item sd="0" x="558"/>
        <item sd="0" x="559"/>
        <item sd="0" x="560"/>
        <item sd="0" x="561"/>
        <item sd="0" x="562"/>
        <item sd="0" x="563"/>
        <item sd="0" x="509"/>
        <item sd="0" x="183"/>
        <item sd="0" x="511"/>
        <item sd="0" x="512"/>
        <item sd="0" x="194"/>
        <item sd="0" x="195"/>
        <item sd="0" x="513"/>
        <item sd="0" x="514"/>
        <item sd="0" x="196"/>
        <item sd="0" x="185"/>
        <item x="88"/>
        <item x="27"/>
        <item x="1"/>
        <item sd="0" x="408"/>
        <item sd="0" x="260"/>
        <item sd="0" x="261"/>
        <item sd="0" x="488"/>
        <item sd="0" x="405"/>
        <item x="65"/>
        <item sd="0" x="532"/>
        <item sd="0" x="418"/>
        <item sd="0" x="419"/>
        <item sd="0" x="420"/>
        <item sd="0" x="421"/>
        <item sd="0" x="422"/>
        <item sd="0" x="423"/>
        <item sd="0" x="424"/>
        <item sd="0" x="425"/>
        <item sd="0" x="154"/>
        <item x="29"/>
        <item sd="0" x="369"/>
        <item sd="0" x="368"/>
        <item x="442"/>
        <item sd="0" x="449"/>
        <item sd="0" x="450"/>
        <item sd="0" x="451"/>
        <item sd="0" x="426"/>
        <item sd="0" x="427"/>
        <item sd="0" x="428"/>
        <item sd="0" x="429"/>
        <item sd="0" x="430"/>
        <item sd="0" x="431"/>
        <item sd="0" x="432"/>
        <item sd="0" x="433"/>
        <item x="5"/>
        <item sd="0" x="230"/>
        <item sd="0" x="280"/>
        <item sd="0" x="459"/>
        <item sd="0" x="231"/>
        <item sd="0" x="281"/>
        <item sd="0" x="178"/>
        <item sd="0" x="232"/>
        <item sd="0" x="282"/>
        <item sd="0" x="179"/>
        <item sd="0" x="506"/>
        <item sd="0" x="233"/>
        <item sd="0" x="283"/>
        <item sd="0" x="468"/>
        <item sd="0" x="205"/>
        <item sd="0" x="470"/>
        <item sd="0" x="164"/>
        <item sd="0" x="241"/>
        <item sd="0" x="242"/>
        <item sd="0" x="243"/>
        <item sd="0" x="244"/>
        <item sd="0" x="478"/>
        <item sd="0" x="479"/>
        <item sd="0" x="147"/>
        <item sd="0" x="186"/>
        <item x="89"/>
        <item x="90"/>
        <item x="109"/>
        <item x="91"/>
        <item x="92"/>
        <item x="93"/>
        <item x="94"/>
        <item x="110"/>
        <item sd="0" x="444"/>
        <item sd="0" x="152"/>
        <item sd="0" x="323"/>
        <item sd="0" x="324"/>
        <item sd="0" x="325"/>
        <item sd="0" x="292"/>
        <item sd="0" x="393"/>
        <item sd="0" x="335"/>
        <item sd="0" x="334"/>
        <item sd="0" x="507"/>
        <item sd="0" x="221"/>
        <item sd="0" x="153"/>
        <item sd="0" x="326"/>
        <item sd="0" x="327"/>
        <item sd="0" x="158"/>
        <item sd="0" x="157"/>
        <item sd="0" x="510"/>
        <item sd="0" x="184"/>
        <item sd="0" x="410"/>
        <item sd="0" x="370"/>
        <item x="23"/>
        <item sd="0" x="246"/>
        <item x="4"/>
        <item sd="0" x="234"/>
        <item sd="0" x="284"/>
        <item sd="0" x="460"/>
        <item sd="0" x="331"/>
        <item sd="0" x="235"/>
        <item sd="0" x="275"/>
        <item sd="0" x="412"/>
        <item sd="0" x="332"/>
        <item sd="0" x="236"/>
        <item sd="0" x="276"/>
        <item sd="0" x="413"/>
        <item sd="0" x="505"/>
        <item sd="0" x="333"/>
        <item sd="0" x="237"/>
        <item sd="0" x="277"/>
        <item sd="0" x="467"/>
        <item sd="0" x="206"/>
        <item sd="0" x="469"/>
        <item sd="0" x="259"/>
        <item sd="0" x="163"/>
        <item x="82"/>
        <item x="34"/>
        <item x="3"/>
        <item sd="0" x="264"/>
        <item sd="0" x="297"/>
        <item sd="0" x="169"/>
        <item sd="0" x="175"/>
        <item sd="0" x="270"/>
        <item x="73"/>
        <item x="72"/>
        <item sd="0" x="515"/>
        <item x="106"/>
        <item x="107"/>
        <item x="108"/>
        <item sd="0" x="374"/>
        <item sd="0" x="565"/>
        <item x="99"/>
        <item sd="0" x="348"/>
        <item sd="0" x="159"/>
        <item sd="0" x="531"/>
        <item sd="0" x="238"/>
        <item sd="0" x="524"/>
        <item sd="0" x="214"/>
        <item sd="0" x="188"/>
        <item sd="0" x="546"/>
        <item sd="0" x="547"/>
        <item x="42"/>
        <item x="44"/>
        <item sd="0" x="373"/>
        <item sd="0" x="279"/>
        <item sd="0" x="207"/>
        <item sd="0" x="247"/>
        <item sd="0" x="248"/>
        <item sd="0" x="342"/>
        <item sd="0" x="176"/>
        <item sd="0" x="173"/>
        <item sd="0" x="174"/>
        <item sd="0" x="200"/>
        <item sd="0" x="202"/>
        <item sd="0" x="544"/>
        <item sd="0" x="216"/>
        <item sd="0" x="269"/>
        <item sd="0" x="538"/>
        <item sd="0" x="371"/>
        <item sd="0" x="372"/>
        <item sd="0" x="535"/>
        <item sd="0" x="294"/>
        <item sd="0" x="349"/>
        <item sd="0" x="204"/>
        <item sd="0" x="495"/>
        <item sd="0" x="502"/>
        <item sd="0" x="289"/>
        <item sd="0" x="375"/>
        <item sd="0" x="376"/>
        <item sd="0" x="377"/>
        <item sd="0" x="272"/>
        <item sd="0" x="359"/>
        <item x="148"/>
        <item sd="0" x="215"/>
        <item sd="0" x="210"/>
        <item sd="0" x="211"/>
        <item sd="0" x="296"/>
        <item sd="0" x="146"/>
        <item x="56"/>
        <item x="57"/>
        <item x="100"/>
        <item x="125"/>
        <item x="104"/>
        <item x="101"/>
        <item x="140"/>
        <item x="121"/>
        <item x="141"/>
        <item sd="0" x="213"/>
        <item sd="0" x="351"/>
        <item sd="0" x="367"/>
        <item sd="0" x="220"/>
        <item sd="0" x="404"/>
        <item x="68"/>
        <item sd="0" x="501"/>
        <item sd="0" x="496"/>
        <item sd="0" x="494"/>
        <item sd="0" x="252"/>
        <item sd="0" x="253"/>
        <item x="24"/>
        <item sd="0" x="434"/>
        <item sd="0" x="435"/>
        <item sd="0" x="436"/>
        <item sd="0" x="437"/>
        <item sd="0" x="438"/>
        <item sd="0" x="439"/>
        <item x="443"/>
        <item x="445"/>
        <item x="446"/>
        <item x="447"/>
        <item sd="0" x="440"/>
        <item sd="0" x="441"/>
        <item x="21"/>
        <item sd="0" x="490"/>
        <item sd="0" x="542"/>
        <item sd="0" x="458"/>
        <item x="295"/>
        <item sd="0" x="497"/>
        <item sd="0" x="489"/>
        <item sd="0" x="491"/>
        <item sd="0" x="492"/>
        <item sd="0" x="498"/>
        <item sd="0" x="499"/>
        <item sd="0" x="500"/>
        <item sd="0" x="493"/>
        <item sd="0" x="456"/>
        <item x="85"/>
        <item sd="0" x="229"/>
        <item x="105"/>
        <item sd="0" x="165"/>
        <item x="103"/>
        <item x="102"/>
        <item x="97"/>
        <item x="55"/>
        <item x="51"/>
        <item x="124"/>
        <item x="86"/>
        <item x="52"/>
        <item x="53"/>
        <item x="98"/>
        <item x="95"/>
        <item sd="0" x="226"/>
        <item x="59"/>
        <item x="58"/>
        <item x="60"/>
        <item sd="0" x="461"/>
        <item sd="0" x="380"/>
        <item x="529"/>
        <item sd="0" x="360"/>
        <item sd="0" x="379"/>
        <item sd="0" x="223"/>
        <item x="14"/>
        <item sd="0" x="344"/>
        <item sd="0" x="338"/>
        <item sd="0" x="319"/>
        <item sd="0" x="378"/>
        <item sd="0" x="339"/>
        <item sd="0" x="181"/>
        <item sd="0" x="189"/>
        <item sd="0" x="361"/>
        <item sd="0" x="145"/>
        <item sd="0" x="225"/>
        <item sd="0" x="256"/>
        <item sd="0" x="407"/>
        <item sd="0" x="257"/>
        <item sd="0" x="258"/>
        <item x="464"/>
        <item sd="0" x="149"/>
        <item sd="0" x="150"/>
        <item sd="0" x="151"/>
        <item sd="0" x="537"/>
        <item x="12"/>
        <item x="13"/>
        <item sd="0" x="254"/>
        <item sd="0" x="526"/>
        <item x="31"/>
        <item x="83"/>
        <item sd="0" x="218"/>
        <item sd="0" x="263"/>
        <item sd="0" x="219"/>
        <item sd="0" x="193"/>
        <item sd="0" x="536"/>
        <item sd="0" x="142"/>
        <item sd="0" x="209"/>
        <item sd="0" x="208"/>
        <item sd="0" x="347"/>
        <item sd="0" x="396"/>
        <item sd="0" x="397"/>
        <item sd="0" x="481"/>
        <item sd="0" x="161"/>
        <item sd="0" x="466"/>
        <item sd="0" x="362"/>
        <item sd="0" x="382"/>
        <item x="572"/>
        <item x="573"/>
        <item sd="0" x="199"/>
        <item x="139"/>
        <item sd="0" x="224"/>
        <item sd="0" x="356"/>
        <item sd="0" x="357"/>
        <item sd="0" x="358"/>
        <item sd="0" x="352"/>
        <item sd="0" x="353"/>
        <item sd="0" x="354"/>
        <item sd="0" x="355"/>
        <item x="9"/>
        <item x="15"/>
        <item sd="0" x="345"/>
        <item sd="0" x="340"/>
        <item sd="0" x="320"/>
        <item sd="0" x="381"/>
        <item sd="0" x="341"/>
        <item sd="0" x="182"/>
        <item sd="0" x="190"/>
        <item sd="0" x="363"/>
        <item sd="0" x="287"/>
        <item x="128"/>
        <item x="48"/>
        <item x="46"/>
        <item sd="0" x="314"/>
        <item sd="0" x="313"/>
        <item x="111"/>
        <item x="77"/>
        <item sd="0" x="217"/>
        <item x="75"/>
        <item sd="0" x="197"/>
        <item sd="0" x="336"/>
        <item sd="0" x="222"/>
        <item sd="0" x="337"/>
        <item sd="0" x="240"/>
        <item sd="0" x="414"/>
        <item sd="0" x="415"/>
        <item sd="0" x="416"/>
        <item sd="0" x="383"/>
        <item x="6"/>
        <item x="265"/>
        <item sd="0" x="384"/>
        <item sd="0" x="167"/>
        <item x="26"/>
        <item x="25"/>
        <item x="84"/>
        <item sd="0" x="398"/>
        <item x="33"/>
        <item sd="0" x="307"/>
        <item sd="0" x="251"/>
        <item sd="0" x="471"/>
        <item x="112"/>
        <item x="113"/>
        <item x="114"/>
        <item x="131"/>
        <item x="115"/>
        <item sd="0" x="299"/>
        <item sd="0" x="300"/>
        <item sd="0" x="301"/>
        <item sd="0" x="302"/>
        <item sd="0" x="303"/>
        <item sd="0" x="304"/>
        <item sd="0" x="144"/>
        <item sd="0" x="520"/>
        <item sd="0" x="521"/>
        <item sd="0" x="406"/>
        <item sd="0" x="168"/>
        <item sd="0" x="483"/>
        <item sd="0" x="482"/>
        <item sd="0" x="409"/>
        <item sd="0" x="198"/>
        <item sd="0" x="417"/>
        <item x="19"/>
        <item sd="0" x="401"/>
        <item sd="0" x="227"/>
        <item sd="0" x="364"/>
        <item x="132"/>
        <item sd="0" x="387"/>
        <item x="133"/>
        <item sd="0" x="306"/>
        <item sd="0" x="312"/>
        <item sd="0" x="309"/>
        <item sd="0" x="310"/>
        <item sd="0" x="291"/>
        <item sd="0" x="271"/>
        <item x="54"/>
        <item x="61"/>
        <item x="47"/>
        <item sd="0" x="552"/>
        <item sd="0" x="551"/>
        <item x="18"/>
        <item x="64"/>
        <item x="2"/>
        <item sd="0" x="328"/>
        <item x="177"/>
        <item sd="0" x="343"/>
        <item x="411"/>
        <item sd="0" x="318"/>
        <item x="16"/>
        <item sd="0" x="477"/>
        <item sd="0" x="386"/>
        <item sd="0" x="550"/>
        <item sd="0" x="180"/>
        <item sd="0" x="191"/>
        <item sd="0" x="365"/>
        <item sd="0" x="539"/>
        <item sd="0" x="540"/>
        <item sd="0" x="503"/>
        <item x="41"/>
        <item x="43"/>
        <item sd="0" x="541"/>
        <item sd="0" x="311"/>
        <item x="45"/>
        <item sd="0" x="143"/>
        <item x="11"/>
        <item sd="0" x="203"/>
        <item sd="0" x="388"/>
        <item sd="0" x="394"/>
        <item sd="0" x="305"/>
        <item sd="0" x="156"/>
        <item sd="0" x="402"/>
        <item x="30"/>
        <item sd="0" x="162"/>
        <item sd="0" x="473"/>
        <item sd="0" x="474"/>
        <item sd="0" x="475"/>
        <item x="126"/>
        <item sd="0" x="290"/>
        <item sd="0" x="472"/>
        <item sd="0" x="463"/>
        <item x="129"/>
        <item sd="0" x="548"/>
        <item sd="0" x="155"/>
        <item sd="0" x="317"/>
        <item sd="0" x="293"/>
        <item sd="0" x="516"/>
        <item sd="0" x="476"/>
        <item sd="0" x="239"/>
        <item sd="0" x="455"/>
        <item sd="0" x="517"/>
        <item sd="0" x="389"/>
        <item sd="0" x="249"/>
        <item sd="0" x="250"/>
        <item sd="0" x="262"/>
        <item sd="0" x="525"/>
        <item sd="0" x="228"/>
        <item sd="0" x="316"/>
        <item sd="0" x="315"/>
        <item x="66"/>
        <item x="67"/>
        <item x="20"/>
        <item sd="0" x="278"/>
        <item sd="0" x="346"/>
        <item x="135"/>
        <item x="62"/>
        <item sd="0" x="557"/>
        <item sd="0" x="350"/>
        <item x="81"/>
        <item sd="0" x="457"/>
        <item sd="0" x="390"/>
        <item x="74"/>
        <item x="78"/>
        <item x="79"/>
        <item x="39"/>
        <item x="71"/>
        <item x="69"/>
        <item x="40"/>
        <item x="70"/>
        <item x="35"/>
        <item x="36"/>
        <item x="37"/>
        <item x="38"/>
        <item x="22"/>
        <item x="134"/>
        <item x="116"/>
        <item x="80"/>
        <item sd="0" x="392"/>
        <item x="49"/>
        <item x="50"/>
        <item sd="0" x="400"/>
        <item x="117"/>
        <item x="118"/>
        <item x="119"/>
        <item x="120"/>
        <item x="76"/>
        <item sd="0" x="465"/>
        <item sd="0" x="212"/>
        <item sd="0" x="187"/>
        <item x="123"/>
        <item x="122"/>
        <item x="137"/>
        <item x="138"/>
        <item x="136"/>
        <item sd="0" x="273"/>
        <item sd="0" x="201"/>
        <item sd="0" x="566"/>
        <item sd="0" x="567"/>
        <item sd="0" x="568"/>
        <item sd="0" x="569"/>
        <item sd="0" x="462"/>
        <item sd="0" x="391"/>
        <item sd="0" x="267"/>
        <item sd="0" x="480"/>
        <item sd="0" x="274"/>
        <item sd="0" x="160"/>
        <item sd="0" x="518"/>
        <item sd="0" x="330"/>
        <item sd="0" x="399"/>
        <item sd="0" x="172"/>
        <item sd="0" x="527"/>
        <item sd="0" x="528"/>
        <item sd="0" x="555"/>
        <item sd="0" x="329"/>
        <item x="530"/>
        <item sd="0" x="522"/>
        <item sd="0" x="266"/>
        <item sd="0" x="487"/>
        <item sd="0" x="403"/>
        <item sd="0" x="523"/>
        <item sd="0" x="519"/>
        <item x="87"/>
        <item sd="0" x="285"/>
        <item x="63"/>
        <item sd="0" x="322"/>
        <item x="0"/>
        <item sd="0" x="268"/>
        <item x="17"/>
        <item sd="0" x="192"/>
        <item sd="0" x="508"/>
        <item x="28"/>
        <item sd="0" x="545"/>
        <item x="96"/>
        <item sd="0" x="255"/>
        <item sd="0" x="554"/>
        <item sd="0" x="553"/>
        <item sd="0" x="533"/>
        <item sd="0" x="385"/>
        <item sd="0" x="534"/>
        <item x="8"/>
        <item sd="0" x="288"/>
        <item x="130"/>
        <item x="448"/>
        <item sd="0" x="452"/>
        <item sd="0" x="453"/>
        <item sd="0" x="454"/>
        <item sd="0" x="556"/>
        <item sd="0" x="504"/>
        <item sd="0" x="564"/>
        <item sd="0" x="543"/>
        <item sd="0" x="549"/>
        <item sd="0" x="484"/>
        <item sd="0" x="485"/>
        <item sd="0" x="486"/>
        <item x="7"/>
        <item x="127"/>
        <item x="32"/>
        <item sd="0" x="298"/>
        <item sd="0" x="321"/>
        <item x="10"/>
        <item sd="0" x="286"/>
        <item sd="0" x="171"/>
        <item sd="0" x="166"/>
        <item sd="0" x="170"/>
        <item x="570"/>
        <item x="571"/>
        <item sd="0" x="366"/>
        <item sd="0" x="308"/>
        <item sd="0" x="395"/>
        <item sd="0" x="245"/>
      </items>
    </pivotField>
    <pivotField axis="axisRow" compact="0" outline="0" showAll="0" defaultSubtotal="0">
      <items count="572">
        <item x="402"/>
        <item x="138"/>
        <item x="472"/>
        <item x="352"/>
        <item x="473"/>
        <item x="106"/>
        <item x="126"/>
        <item x="408"/>
        <item x="353"/>
        <item x="556"/>
        <item x="557"/>
        <item x="107"/>
        <item x="354"/>
        <item x="474"/>
        <item x="108"/>
        <item x="77"/>
        <item x="355"/>
        <item x="558"/>
        <item x="559"/>
        <item x="560"/>
        <item x="561"/>
        <item x="185"/>
        <item x="511"/>
        <item x="510"/>
        <item x="194"/>
        <item x="195"/>
        <item x="512"/>
        <item x="513"/>
        <item x="112"/>
        <item x="140"/>
        <item x="24"/>
        <item x="47"/>
        <item x="2"/>
        <item x="50"/>
        <item x="21"/>
        <item x="196"/>
        <item x="1"/>
        <item x="90"/>
        <item x="89"/>
        <item x="88"/>
        <item x="92"/>
        <item x="91"/>
        <item x="94"/>
        <item x="93"/>
        <item x="260"/>
        <item x="261"/>
        <item x="487"/>
        <item x="483"/>
        <item x="27"/>
        <item x="28"/>
        <item x="62"/>
        <item x="65"/>
        <item x="145"/>
        <item x="476"/>
        <item x="531"/>
        <item x="417"/>
        <item x="418"/>
        <item x="419"/>
        <item x="420"/>
        <item x="421"/>
        <item x="422"/>
        <item x="423"/>
        <item x="424"/>
        <item x="368"/>
        <item x="369"/>
        <item x="146"/>
        <item x="425"/>
        <item x="426"/>
        <item x="441"/>
        <item x="427"/>
        <item x="428"/>
        <item x="448"/>
        <item x="429"/>
        <item x="430"/>
        <item x="449"/>
        <item x="431"/>
        <item x="432"/>
        <item x="450"/>
        <item x="230"/>
        <item x="247"/>
        <item x="210"/>
        <item x="231"/>
        <item x="281"/>
        <item x="357"/>
        <item x="232"/>
        <item x="282"/>
        <item x="233"/>
        <item x="283"/>
        <item x="5"/>
        <item x="467"/>
        <item x="249"/>
        <item x="164"/>
        <item x="205"/>
        <item x="469"/>
        <item x="183"/>
        <item x="244"/>
        <item x="241"/>
        <item x="242"/>
        <item x="243"/>
        <item x="477"/>
        <item x="478"/>
        <item x="186"/>
        <item x="147"/>
        <item x="152"/>
        <item x="323"/>
        <item x="292"/>
        <item x="335"/>
        <item x="334"/>
        <item x="393"/>
        <item x="443"/>
        <item x="221"/>
        <item x="324"/>
        <item x="506"/>
        <item x="153"/>
        <item x="326"/>
        <item x="327"/>
        <item x="325"/>
        <item x="370"/>
        <item x="256"/>
        <item x="23"/>
        <item x="270"/>
        <item x="169"/>
        <item x="264"/>
        <item x="234"/>
        <item x="248"/>
        <item x="211"/>
        <item x="235"/>
        <item x="275"/>
        <item x="358"/>
        <item x="236"/>
        <item x="276"/>
        <item x="237"/>
        <item x="277"/>
        <item x="4"/>
        <item x="466"/>
        <item x="250"/>
        <item x="163"/>
        <item x="564"/>
        <item x="565"/>
        <item x="206"/>
        <item x="468"/>
        <item x="184"/>
        <item x="259"/>
        <item x="544"/>
        <item x="82"/>
        <item x="3"/>
        <item x="175"/>
        <item x="246"/>
        <item x="514"/>
        <item x="563"/>
        <item x="99"/>
        <item x="348"/>
        <item x="349"/>
        <item x="371"/>
        <item x="372"/>
        <item x="530"/>
        <item x="523"/>
        <item x="159"/>
        <item x="214"/>
        <item x="280"/>
        <item x="284"/>
        <item x="373"/>
        <item x="0"/>
        <item x="374"/>
        <item x="322"/>
        <item x="238"/>
        <item x="42"/>
        <item x="44"/>
        <item x="543"/>
        <item x="207"/>
        <item x="279"/>
        <item x="294"/>
        <item x="501"/>
        <item x="375"/>
        <item x="376"/>
        <item x="377"/>
        <item x="173"/>
        <item x="174"/>
        <item x="200"/>
        <item x="202"/>
        <item x="176"/>
        <item x="269"/>
        <item x="537"/>
        <item x="204"/>
        <item x="289"/>
        <item x="137"/>
        <item x="192"/>
        <item x="272"/>
        <item x="56"/>
        <item x="57"/>
        <item x="484"/>
        <item x="359"/>
        <item x="148"/>
        <item x="215"/>
        <item x="367"/>
        <item x="213"/>
        <item x="296"/>
        <item x="351"/>
        <item x="100"/>
        <item x="101"/>
        <item x="404"/>
        <item x="68"/>
        <item x="500"/>
        <item x="493"/>
        <item x="433"/>
        <item x="434"/>
        <item x="442"/>
        <item x="435"/>
        <item x="436"/>
        <item x="444"/>
        <item x="437"/>
        <item x="438"/>
        <item x="445"/>
        <item x="439"/>
        <item x="440"/>
        <item x="446"/>
        <item x="252"/>
        <item x="253"/>
        <item x="161"/>
        <item x="489"/>
        <item x="457"/>
        <item x="295"/>
        <item x="545"/>
        <item x="538"/>
        <item x="39"/>
        <item x="35"/>
        <item x="36"/>
        <item x="71"/>
        <item x="69"/>
        <item x="78"/>
        <item x="548"/>
        <item x="534"/>
        <item x="455"/>
        <item x="229"/>
        <item x="226"/>
        <item x="496"/>
        <item x="488"/>
        <item x="497"/>
        <item x="498"/>
        <item x="499"/>
        <item x="51"/>
        <item x="53"/>
        <item x="58"/>
        <item x="59"/>
        <item x="60"/>
        <item x="55"/>
        <item x="95"/>
        <item x="458"/>
        <item x="460"/>
        <item x="459"/>
        <item x="528"/>
        <item x="178"/>
        <item x="344"/>
        <item x="223"/>
        <item x="331"/>
        <item x="411"/>
        <item x="338"/>
        <item x="319"/>
        <item x="360"/>
        <item x="490"/>
        <item x="413"/>
        <item x="378"/>
        <item x="14"/>
        <item x="379"/>
        <item x="339"/>
        <item x="181"/>
        <item x="361"/>
        <item x="463"/>
        <item x="380"/>
        <item x="149"/>
        <item x="150"/>
        <item x="151"/>
        <item x="536"/>
        <item x="407"/>
        <item x="257"/>
        <item x="525"/>
        <item x="258"/>
        <item x="12"/>
        <item x="13"/>
        <item x="254"/>
        <item x="63"/>
        <item x="225"/>
        <item x="263"/>
        <item x="219"/>
        <item x="193"/>
        <item x="31"/>
        <item x="83"/>
        <item x="535"/>
        <item x="142"/>
        <item x="209"/>
        <item x="208"/>
        <item x="347"/>
        <item x="396"/>
        <item x="397"/>
        <item x="480"/>
        <item x="155"/>
        <item x="465"/>
        <item x="128"/>
        <item x="81"/>
        <item x="46"/>
        <item x="547"/>
        <item x="566"/>
        <item x="567"/>
        <item x="570"/>
        <item x="571"/>
        <item x="199"/>
        <item x="356"/>
        <item x="494"/>
        <item x="179"/>
        <item x="345"/>
        <item x="224"/>
        <item x="332"/>
        <item x="412"/>
        <item x="340"/>
        <item x="320"/>
        <item x="362"/>
        <item x="491"/>
        <item x="414"/>
        <item x="381"/>
        <item x="15"/>
        <item x="382"/>
        <item x="341"/>
        <item x="182"/>
        <item x="363"/>
        <item x="287"/>
        <item x="9"/>
        <item x="217"/>
        <item x="131"/>
        <item x="73"/>
        <item x="72"/>
        <item x="75"/>
        <item x="74"/>
        <item x="299"/>
        <item x="300"/>
        <item x="301"/>
        <item x="302"/>
        <item x="303"/>
        <item x="304"/>
        <item x="33"/>
        <item x="398"/>
        <item x="26"/>
        <item x="25"/>
        <item x="84"/>
        <item x="197"/>
        <item x="85"/>
        <item x="336"/>
        <item x="222"/>
        <item x="337"/>
        <item x="240"/>
        <item x="342"/>
        <item x="6"/>
        <item x="383"/>
        <item x="262"/>
        <item x="265"/>
        <item x="384"/>
        <item x="532"/>
        <item x="385"/>
        <item x="533"/>
        <item x="167"/>
        <item x="307"/>
        <item x="251"/>
        <item x="314"/>
        <item x="313"/>
        <item x="470"/>
        <item x="144"/>
        <item x="519"/>
        <item x="520"/>
        <item x="168"/>
        <item x="406"/>
        <item x="125"/>
        <item x="124"/>
        <item x="482"/>
        <item x="481"/>
        <item x="227"/>
        <item x="409"/>
        <item x="130"/>
        <item x="48"/>
        <item x="505"/>
        <item x="504"/>
        <item x="416"/>
        <item x="34"/>
        <item x="541"/>
        <item x="216"/>
        <item x="121"/>
        <item x="492"/>
        <item x="400"/>
        <item x="454"/>
        <item x="104"/>
        <item x="52"/>
        <item x="105"/>
        <item x="103"/>
        <item x="102"/>
        <item x="116"/>
        <item x="401"/>
        <item x="19"/>
        <item x="471"/>
        <item x="54"/>
        <item x="61"/>
        <item x="64"/>
        <item x="550"/>
        <item x="549"/>
        <item x="18"/>
        <item x="177"/>
        <item x="343"/>
        <item x="333"/>
        <item x="410"/>
        <item x="318"/>
        <item x="364"/>
        <item x="502"/>
        <item x="415"/>
        <item x="386"/>
        <item x="16"/>
        <item x="540"/>
        <item x="387"/>
        <item x="180"/>
        <item x="365"/>
        <item x="41"/>
        <item x="43"/>
        <item x="306"/>
        <item x="312"/>
        <item x="309"/>
        <item x="310"/>
        <item x="291"/>
        <item x="271"/>
        <item x="311"/>
        <item x="45"/>
        <item x="143"/>
        <item x="11"/>
        <item x="115"/>
        <item x="120"/>
        <item x="114"/>
        <item x="113"/>
        <item x="132"/>
        <item x="133"/>
        <item x="119"/>
        <item x="118"/>
        <item x="328"/>
        <item x="203"/>
        <item x="388"/>
        <item x="394"/>
        <item x="156"/>
        <item x="162"/>
        <item x="290"/>
        <item x="462"/>
        <item x="317"/>
        <item x="30"/>
        <item x="475"/>
        <item x="129"/>
        <item x="293"/>
        <item x="515"/>
        <item x="239"/>
        <item x="524"/>
        <item x="228"/>
        <item x="316"/>
        <item x="315"/>
        <item x="20"/>
        <item x="139"/>
        <item x="278"/>
        <item x="165"/>
        <item x="346"/>
        <item x="86"/>
        <item x="516"/>
        <item x="135"/>
        <item x="555"/>
        <item x="350"/>
        <item x="456"/>
        <item x="297"/>
        <item x="546"/>
        <item x="188"/>
        <item x="189"/>
        <item x="190"/>
        <item x="539"/>
        <item x="191"/>
        <item x="37"/>
        <item x="38"/>
        <item x="40"/>
        <item x="70"/>
        <item x="79"/>
        <item x="109"/>
        <item x="110"/>
        <item x="66"/>
        <item x="542"/>
        <item x="22"/>
        <item x="392"/>
        <item x="76"/>
        <item x="117"/>
        <item x="80"/>
        <item x="134"/>
        <item x="49"/>
        <item x="136"/>
        <item x="212"/>
        <item x="187"/>
        <item x="464"/>
        <item x="122"/>
        <item x="123"/>
        <item x="218"/>
        <item x="389"/>
        <item x="390"/>
        <item x="391"/>
        <item x="273"/>
        <item x="201"/>
        <item x="461"/>
        <item x="267"/>
        <item x="479"/>
        <item x="274"/>
        <item x="160"/>
        <item x="330"/>
        <item x="526"/>
        <item x="527"/>
        <item x="399"/>
        <item x="172"/>
        <item x="553"/>
        <item x="329"/>
        <item x="529"/>
        <item x="67"/>
        <item x="154"/>
        <item x="509"/>
        <item x="521"/>
        <item x="503"/>
        <item x="141"/>
        <item x="220"/>
        <item x="266"/>
        <item x="87"/>
        <item x="127"/>
        <item x="486"/>
        <item x="198"/>
        <item x="111"/>
        <item x="29"/>
        <item x="507"/>
        <item x="517"/>
        <item x="403"/>
        <item x="508"/>
        <item x="522"/>
        <item x="518"/>
        <item x="97"/>
        <item x="98"/>
        <item x="96"/>
        <item x="285"/>
        <item x="268"/>
        <item x="17"/>
        <item x="485"/>
        <item x="255"/>
        <item x="552"/>
        <item x="551"/>
        <item x="288"/>
        <item x="8"/>
        <item x="447"/>
        <item x="451"/>
        <item x="452"/>
        <item x="453"/>
        <item x="554"/>
        <item x="562"/>
        <item x="298"/>
        <item x="7"/>
        <item x="32"/>
        <item x="157"/>
        <item x="158"/>
        <item x="305"/>
        <item x="321"/>
        <item x="495"/>
        <item x="405"/>
        <item x="568"/>
        <item x="569"/>
        <item x="10"/>
        <item x="286"/>
        <item x="171"/>
        <item x="166"/>
        <item x="170"/>
        <item x="245"/>
        <item x="308"/>
        <item x="395"/>
        <item x="366"/>
      </items>
    </pivotField>
    <pivotField axis="axisRow" compact="0" outline="0" showAll="0" defaultSubtotal="0">
      <items count="544">
        <item x="138"/>
        <item x="444"/>
        <item x="352"/>
        <item x="373"/>
        <item x="445"/>
        <item x="106"/>
        <item x="126"/>
        <item x="379"/>
        <item x="528"/>
        <item x="529"/>
        <item x="107"/>
        <item x="353"/>
        <item x="354"/>
        <item x="446"/>
        <item x="108"/>
        <item x="77"/>
        <item x="355"/>
        <item x="530"/>
        <item x="531"/>
        <item x="532"/>
        <item x="533"/>
        <item x="185"/>
        <item x="483"/>
        <item x="482"/>
        <item x="194"/>
        <item x="195"/>
        <item x="484"/>
        <item x="485"/>
        <item x="112"/>
        <item x="140"/>
        <item x="24"/>
        <item x="47"/>
        <item x="2"/>
        <item x="50"/>
        <item x="21"/>
        <item x="196"/>
        <item x="1"/>
        <item x="90"/>
        <item x="89"/>
        <item x="88"/>
        <item x="92"/>
        <item x="91"/>
        <item x="94"/>
        <item x="93"/>
        <item x="260"/>
        <item x="261"/>
        <item x="459"/>
        <item x="455"/>
        <item x="27"/>
        <item x="28"/>
        <item x="62"/>
        <item x="65"/>
        <item x="145"/>
        <item x="448"/>
        <item x="503"/>
        <item x="389"/>
        <item x="390"/>
        <item x="391"/>
        <item x="392"/>
        <item x="393"/>
        <item x="394"/>
        <item x="395"/>
        <item x="396"/>
        <item x="146"/>
        <item x="397"/>
        <item x="398"/>
        <item x="413"/>
        <item x="399"/>
        <item x="400"/>
        <item x="420"/>
        <item x="401"/>
        <item x="402"/>
        <item x="421"/>
        <item x="403"/>
        <item x="404"/>
        <item x="422"/>
        <item x="230"/>
        <item x="247"/>
        <item x="210"/>
        <item x="231"/>
        <item x="281"/>
        <item x="357"/>
        <item x="232"/>
        <item x="282"/>
        <item x="233"/>
        <item x="283"/>
        <item x="5"/>
        <item x="439"/>
        <item x="249"/>
        <item x="164"/>
        <item x="205"/>
        <item x="441"/>
        <item x="183"/>
        <item x="244"/>
        <item x="241"/>
        <item x="242"/>
        <item x="243"/>
        <item x="449"/>
        <item x="450"/>
        <item x="147"/>
        <item x="152"/>
        <item x="323"/>
        <item x="292"/>
        <item x="335"/>
        <item x="334"/>
        <item x="364"/>
        <item x="415"/>
        <item x="221"/>
        <item x="324"/>
        <item x="478"/>
        <item x="153"/>
        <item x="326"/>
        <item x="327"/>
        <item x="325"/>
        <item x="256"/>
        <item x="23"/>
        <item x="270"/>
        <item x="169"/>
        <item x="264"/>
        <item x="234"/>
        <item x="248"/>
        <item x="211"/>
        <item x="235"/>
        <item x="275"/>
        <item x="358"/>
        <item x="236"/>
        <item x="276"/>
        <item x="237"/>
        <item x="277"/>
        <item x="4"/>
        <item x="438"/>
        <item x="250"/>
        <item x="163"/>
        <item x="536"/>
        <item x="537"/>
        <item x="206"/>
        <item x="440"/>
        <item x="184"/>
        <item x="259"/>
        <item x="516"/>
        <item x="82"/>
        <item x="3"/>
        <item x="186"/>
        <item x="175"/>
        <item x="246"/>
        <item x="486"/>
        <item x="535"/>
        <item x="99"/>
        <item x="348"/>
        <item x="349"/>
        <item x="502"/>
        <item x="495"/>
        <item x="159"/>
        <item x="214"/>
        <item x="280"/>
        <item x="284"/>
        <item x="0"/>
        <item x="238"/>
        <item x="322"/>
        <item x="42"/>
        <item x="44"/>
        <item x="515"/>
        <item x="207"/>
        <item x="279"/>
        <item x="294"/>
        <item x="473"/>
        <item x="173"/>
        <item x="174"/>
        <item x="202"/>
        <item x="176"/>
        <item x="269"/>
        <item x="509"/>
        <item x="200"/>
        <item x="204"/>
        <item x="289"/>
        <item x="137"/>
        <item x="192"/>
        <item x="272"/>
        <item x="56"/>
        <item x="57"/>
        <item x="456"/>
        <item x="359"/>
        <item x="148"/>
        <item x="215"/>
        <item x="362"/>
        <item x="213"/>
        <item x="296"/>
        <item x="351"/>
        <item x="100"/>
        <item x="101"/>
        <item x="375"/>
        <item x="68"/>
        <item x="472"/>
        <item x="465"/>
        <item x="405"/>
        <item x="406"/>
        <item x="414"/>
        <item x="407"/>
        <item x="408"/>
        <item x="416"/>
        <item x="409"/>
        <item x="410"/>
        <item x="417"/>
        <item x="411"/>
        <item x="412"/>
        <item x="418"/>
        <item x="252"/>
        <item x="253"/>
        <item x="161"/>
        <item x="461"/>
        <item x="429"/>
        <item x="295"/>
        <item x="517"/>
        <item x="510"/>
        <item x="39"/>
        <item x="35"/>
        <item x="36"/>
        <item x="71"/>
        <item x="69"/>
        <item x="78"/>
        <item x="520"/>
        <item x="506"/>
        <item x="427"/>
        <item x="229"/>
        <item x="226"/>
        <item x="468"/>
        <item x="460"/>
        <item x="469"/>
        <item x="470"/>
        <item x="471"/>
        <item x="59"/>
        <item x="60"/>
        <item x="55"/>
        <item x="95"/>
        <item x="51"/>
        <item x="53"/>
        <item x="58"/>
        <item x="430"/>
        <item x="432"/>
        <item x="431"/>
        <item x="500"/>
        <item x="178"/>
        <item x="344"/>
        <item x="223"/>
        <item x="331"/>
        <item x="338"/>
        <item x="319"/>
        <item x="360"/>
        <item x="383"/>
        <item x="462"/>
        <item x="385"/>
        <item x="14"/>
        <item x="339"/>
        <item x="181"/>
        <item x="378"/>
        <item x="435"/>
        <item x="149"/>
        <item x="150"/>
        <item x="151"/>
        <item x="508"/>
        <item x="257"/>
        <item x="497"/>
        <item x="258"/>
        <item x="12"/>
        <item x="13"/>
        <item x="254"/>
        <item x="63"/>
        <item x="225"/>
        <item x="263"/>
        <item x="219"/>
        <item x="193"/>
        <item x="31"/>
        <item x="83"/>
        <item x="507"/>
        <item x="142"/>
        <item x="209"/>
        <item x="208"/>
        <item x="347"/>
        <item x="367"/>
        <item x="368"/>
        <item x="452"/>
        <item x="155"/>
        <item x="437"/>
        <item x="128"/>
        <item x="81"/>
        <item x="46"/>
        <item x="519"/>
        <item x="538"/>
        <item x="539"/>
        <item x="542"/>
        <item x="543"/>
        <item x="199"/>
        <item x="356"/>
        <item x="466"/>
        <item x="179"/>
        <item x="345"/>
        <item x="224"/>
        <item x="332"/>
        <item x="384"/>
        <item x="340"/>
        <item x="320"/>
        <item x="287"/>
        <item x="9"/>
        <item x="463"/>
        <item x="386"/>
        <item x="15"/>
        <item x="341"/>
        <item x="182"/>
        <item x="217"/>
        <item x="131"/>
        <item x="73"/>
        <item x="72"/>
        <item x="75"/>
        <item x="74"/>
        <item x="33"/>
        <item x="369"/>
        <item x="26"/>
        <item x="25"/>
        <item x="84"/>
        <item x="299"/>
        <item x="300"/>
        <item x="301"/>
        <item x="302"/>
        <item x="303"/>
        <item x="304"/>
        <item x="197"/>
        <item x="85"/>
        <item x="336"/>
        <item x="222"/>
        <item x="337"/>
        <item x="240"/>
        <item x="342"/>
        <item x="6"/>
        <item x="262"/>
        <item x="265"/>
        <item x="504"/>
        <item x="505"/>
        <item x="167"/>
        <item x="307"/>
        <item x="251"/>
        <item x="314"/>
        <item x="313"/>
        <item x="442"/>
        <item x="144"/>
        <item x="491"/>
        <item x="492"/>
        <item x="168"/>
        <item x="377"/>
        <item x="125"/>
        <item x="124"/>
        <item x="454"/>
        <item x="453"/>
        <item x="227"/>
        <item x="380"/>
        <item x="130"/>
        <item x="48"/>
        <item x="477"/>
        <item x="388"/>
        <item x="476"/>
        <item x="34"/>
        <item x="513"/>
        <item x="216"/>
        <item x="121"/>
        <item x="464"/>
        <item x="371"/>
        <item x="426"/>
        <item x="104"/>
        <item x="52"/>
        <item x="105"/>
        <item x="103"/>
        <item x="102"/>
        <item x="116"/>
        <item x="372"/>
        <item x="19"/>
        <item x="443"/>
        <item x="54"/>
        <item x="61"/>
        <item x="64"/>
        <item x="522"/>
        <item x="521"/>
        <item x="18"/>
        <item x="177"/>
        <item x="343"/>
        <item x="333"/>
        <item x="382"/>
        <item x="318"/>
        <item x="41"/>
        <item x="43"/>
        <item x="474"/>
        <item x="387"/>
        <item x="16"/>
        <item x="512"/>
        <item x="180"/>
        <item x="306"/>
        <item x="312"/>
        <item x="309"/>
        <item x="310"/>
        <item x="291"/>
        <item x="271"/>
        <item x="311"/>
        <item x="45"/>
        <item x="143"/>
        <item x="11"/>
        <item x="115"/>
        <item x="120"/>
        <item x="114"/>
        <item x="113"/>
        <item x="132"/>
        <item x="133"/>
        <item x="119"/>
        <item x="118"/>
        <item x="328"/>
        <item x="203"/>
        <item x="365"/>
        <item x="156"/>
        <item x="162"/>
        <item x="290"/>
        <item x="434"/>
        <item x="317"/>
        <item x="30"/>
        <item x="447"/>
        <item x="129"/>
        <item x="293"/>
        <item x="487"/>
        <item x="239"/>
        <item x="496"/>
        <item x="228"/>
        <item x="316"/>
        <item x="315"/>
        <item x="20"/>
        <item x="139"/>
        <item x="278"/>
        <item x="346"/>
        <item x="86"/>
        <item x="488"/>
        <item x="165"/>
        <item x="135"/>
        <item x="527"/>
        <item x="350"/>
        <item x="428"/>
        <item x="109"/>
        <item x="110"/>
        <item x="66"/>
        <item x="297"/>
        <item x="518"/>
        <item x="188"/>
        <item x="189"/>
        <item x="190"/>
        <item x="511"/>
        <item x="191"/>
        <item x="37"/>
        <item x="38"/>
        <item x="40"/>
        <item x="70"/>
        <item x="79"/>
        <item x="514"/>
        <item x="22"/>
        <item x="363"/>
        <item x="76"/>
        <item x="117"/>
        <item x="80"/>
        <item x="134"/>
        <item x="49"/>
        <item x="136"/>
        <item x="212"/>
        <item x="187"/>
        <item x="436"/>
        <item x="122"/>
        <item x="123"/>
        <item x="218"/>
        <item x="273"/>
        <item x="201"/>
        <item x="433"/>
        <item x="267"/>
        <item x="451"/>
        <item x="274"/>
        <item x="160"/>
        <item x="330"/>
        <item x="498"/>
        <item x="499"/>
        <item x="370"/>
        <item x="172"/>
        <item x="525"/>
        <item x="329"/>
        <item x="501"/>
        <item x="67"/>
        <item x="154"/>
        <item x="481"/>
        <item x="493"/>
        <item x="475"/>
        <item x="141"/>
        <item x="220"/>
        <item x="266"/>
        <item x="87"/>
        <item x="127"/>
        <item x="458"/>
        <item x="198"/>
        <item x="111"/>
        <item x="29"/>
        <item x="479"/>
        <item x="489"/>
        <item x="374"/>
        <item x="480"/>
        <item x="494"/>
        <item x="490"/>
        <item x="97"/>
        <item x="98"/>
        <item x="96"/>
        <item x="285"/>
        <item x="268"/>
        <item x="7"/>
        <item x="17"/>
        <item x="457"/>
        <item x="255"/>
        <item x="524"/>
        <item x="523"/>
        <item x="381"/>
        <item x="288"/>
        <item x="8"/>
        <item x="419"/>
        <item x="423"/>
        <item x="424"/>
        <item x="425"/>
        <item x="526"/>
        <item x="534"/>
        <item x="298"/>
        <item x="32"/>
        <item x="157"/>
        <item x="158"/>
        <item x="305"/>
        <item x="321"/>
        <item x="467"/>
        <item x="376"/>
        <item x="540"/>
        <item x="541"/>
        <item x="10"/>
        <item x="286"/>
        <item x="171"/>
        <item x="166"/>
        <item x="170"/>
        <item x="308"/>
        <item x="366"/>
        <item x="361"/>
        <item x="245"/>
      </items>
    </pivotField>
    <pivotField axis="axisRow" compact="0" outline="0" showAll="0" defaultSubtotal="0">
      <items count="564">
        <item x="211"/>
        <item x="172"/>
        <item x="350"/>
        <item sd="0" x="134"/>
        <item x="343"/>
        <item sd="0" x="102"/>
        <item x="399"/>
        <item x="344"/>
        <item x="548"/>
        <item x="549"/>
        <item sd="0" x="103"/>
        <item x="345"/>
        <item x="346"/>
        <item sd="0" x="104"/>
        <item x="550"/>
        <item x="551"/>
        <item x="552"/>
        <item x="553"/>
        <item x="526"/>
        <item x="212"/>
        <item x="264"/>
        <item x="492"/>
        <item x="141"/>
        <item x="467"/>
        <item sd="0" x="136"/>
        <item sd="0" x="24"/>
        <item x="502"/>
        <item x="503"/>
        <item sd="0" x="2"/>
        <item x="501"/>
        <item x="504"/>
        <item sd="0" x="27"/>
        <item sd="0" x="87"/>
        <item sd="0" x="88"/>
        <item sd="0" x="89"/>
        <item sd="0" x="90"/>
        <item x="487"/>
        <item x="478"/>
        <item x="255"/>
        <item x="256"/>
        <item sd="0" x="62"/>
        <item x="522"/>
        <item x="253"/>
        <item x="359"/>
        <item x="360"/>
        <item x="142"/>
        <item x="488"/>
        <item x="225"/>
        <item x="275"/>
        <item x="242"/>
        <item x="226"/>
        <item x="276"/>
        <item x="227"/>
        <item x="277"/>
        <item x="228"/>
        <item x="278"/>
        <item x="459"/>
        <item x="461"/>
        <item x="239"/>
        <item x="468"/>
        <item x="469"/>
        <item x="287"/>
        <item x="326"/>
        <item x="325"/>
        <item x="315"/>
        <item x="153"/>
        <item x="154"/>
        <item x="148"/>
        <item x="149"/>
        <item x="314"/>
        <item x="317"/>
        <item x="316"/>
        <item x="361"/>
        <item x="251"/>
        <item x="347"/>
        <item x="348"/>
        <item x="349"/>
        <item x="201"/>
        <item x="202"/>
        <item x="165"/>
        <item x="292"/>
        <item x="229"/>
        <item x="279"/>
        <item x="243"/>
        <item x="322"/>
        <item x="323"/>
        <item x="324"/>
        <item x="230"/>
        <item x="270"/>
        <item x="231"/>
        <item x="271"/>
        <item x="232"/>
        <item x="272"/>
        <item x="458"/>
        <item x="460"/>
        <item x="254"/>
        <item sd="0" x="81"/>
        <item x="171"/>
        <item x="241"/>
        <item x="505"/>
        <item x="500"/>
        <item sd="0" x="56"/>
        <item x="339"/>
        <item x="362"/>
        <item x="363"/>
        <item x="521"/>
        <item x="514"/>
        <item x="265"/>
        <item x="364"/>
        <item x="365"/>
        <item x="233"/>
        <item sd="0" x="42"/>
        <item sd="0" x="44"/>
        <item x="203"/>
        <item x="274"/>
        <item x="289"/>
        <item x="435"/>
        <item x="486"/>
        <item x="366"/>
        <item x="367"/>
        <item x="368"/>
        <item x="340"/>
        <item x="200"/>
        <item x="284"/>
        <item sd="0" x="133"/>
        <item x="188"/>
        <item x="479"/>
        <item sd="0" x="144"/>
        <item x="164"/>
        <item sd="0" x="260"/>
        <item x="358"/>
        <item x="291"/>
        <item x="216"/>
        <item sd="0" x="96"/>
        <item x="484"/>
        <item x="247"/>
        <item x="248"/>
        <item x="157"/>
        <item sd="0" x="290"/>
        <item x="297"/>
        <item sd="0" x="35"/>
        <item sd="0" x="36"/>
        <item x="540"/>
        <item x="179"/>
        <item x="180"/>
        <item x="525"/>
        <item x="447"/>
        <item x="480"/>
        <item x="221"/>
        <item x="516"/>
        <item x="529"/>
        <item x="530"/>
        <item x="536"/>
        <item x="537"/>
        <item x="162"/>
        <item sd="0" x="10"/>
        <item sd="0" x="59"/>
        <item x="452"/>
        <item x="527"/>
        <item sd="0" x="434"/>
        <item sd="0" x="439"/>
        <item sd="0" x="433"/>
        <item sd="0" x="436"/>
        <item x="443"/>
        <item x="440"/>
        <item sd="0" x="437"/>
        <item x="444"/>
        <item x="441"/>
        <item sd="0" x="438"/>
        <item x="445"/>
        <item x="442"/>
        <item sd="0" x="519"/>
        <item x="218"/>
        <item x="329"/>
        <item x="351"/>
        <item x="369"/>
        <item x="370"/>
        <item x="330"/>
        <item x="352"/>
        <item x="174"/>
        <item x="466"/>
        <item sd="0" x="455"/>
        <item x="371"/>
        <item x="145"/>
        <item x="146"/>
        <item x="147"/>
        <item x="224"/>
        <item x="398"/>
        <item x="252"/>
        <item x="400"/>
        <item x="456"/>
        <item x="462"/>
        <item x="457"/>
        <item sd="0" x="12"/>
        <item sd="0" x="13"/>
        <item x="249"/>
        <item sd="0" x="63"/>
        <item x="181"/>
        <item x="258"/>
        <item x="213"/>
        <item x="214"/>
        <item x="189"/>
        <item sd="0" x="31"/>
        <item sd="0" x="82"/>
        <item x="204"/>
        <item sd="0" x="0"/>
        <item sd="0" x="5"/>
        <item sd="0" x="4"/>
        <item x="558"/>
        <item x="559"/>
        <item sd="0" x="68"/>
        <item x="195"/>
        <item x="219"/>
        <item x="331"/>
        <item x="353"/>
        <item x="372"/>
        <item x="373"/>
        <item x="332"/>
        <item x="354"/>
        <item x="282"/>
        <item sd="0" x="9"/>
        <item x="175"/>
        <item sd="0" x="127"/>
        <item sd="0" x="26"/>
        <item sd="0" x="25"/>
        <item sd="0" x="83"/>
        <item x="294"/>
        <item x="295"/>
        <item x="235"/>
        <item x="333"/>
        <item x="405"/>
        <item x="406"/>
        <item x="374"/>
        <item x="375"/>
        <item x="376"/>
        <item x="163"/>
        <item x="298"/>
        <item x="246"/>
        <item x="305"/>
        <item x="304"/>
        <item x="464"/>
        <item sd="0" x="76"/>
        <item x="448"/>
        <item x="158"/>
        <item x="140"/>
        <item sd="0" x="121"/>
        <item sd="0" x="120"/>
        <item x="222"/>
        <item x="555"/>
        <item sd="0" x="34"/>
        <item sd="0" x="117"/>
        <item x="472"/>
        <item x="471"/>
        <item x="387"/>
        <item x="388"/>
        <item x="473"/>
        <item x="391"/>
        <item sd="0" x="100"/>
        <item sd="0" x="52"/>
        <item sd="0" x="101"/>
        <item sd="0" x="99"/>
        <item sd="0" x="98"/>
        <item x="263"/>
        <item x="392"/>
        <item x="463"/>
        <item sd="0" x="19"/>
        <item sd="0" x="61"/>
        <item x="542"/>
        <item x="541"/>
        <item sd="0" x="173"/>
        <item sd="0" x="402"/>
        <item x="355"/>
        <item x="493"/>
        <item x="377"/>
        <item x="378"/>
        <item x="356"/>
        <item sd="0" x="41"/>
        <item sd="0" x="43"/>
        <item x="303"/>
        <item x="301"/>
        <item x="300"/>
        <item x="266"/>
        <item x="302"/>
        <item x="286"/>
        <item sd="0" x="45"/>
        <item sd="0" x="11"/>
        <item x="139"/>
        <item sd="0" x="111"/>
        <item sd="0" x="128"/>
        <item sd="0" x="129"/>
        <item sd="0" x="116"/>
        <item x="199"/>
        <item x="379"/>
        <item x="152"/>
        <item x="393"/>
        <item x="285"/>
        <item x="454"/>
        <item x="308"/>
        <item x="209"/>
        <item x="210"/>
        <item sd="0" x="122"/>
        <item x="465"/>
        <item x="155"/>
        <item x="538"/>
        <item sd="0" x="125"/>
        <item x="389"/>
        <item x="288"/>
        <item x="506"/>
        <item x="234"/>
        <item sd="0" x="60"/>
        <item sd="0" x="58"/>
        <item sd="0" x="30"/>
        <item x="544"/>
        <item x="543"/>
        <item x="515"/>
        <item x="223"/>
        <item x="307"/>
        <item x="306"/>
        <item sd="0" x="135"/>
        <item sd="0" x="20"/>
        <item x="386"/>
        <item x="161"/>
        <item x="337"/>
        <item sd="0" x="85"/>
        <item sd="0" x="131"/>
        <item x="250"/>
        <item x="547"/>
        <item x="357"/>
        <item x="385"/>
        <item x="341"/>
        <item x="184"/>
        <item x="185"/>
        <item x="186"/>
        <item x="187"/>
        <item sd="0" x="37"/>
        <item sd="0" x="38"/>
        <item sd="0" x="105"/>
        <item sd="0" x="106"/>
        <item sd="0" x="66"/>
        <item x="499"/>
        <item sd="0" x="97"/>
        <item sd="0" x="57"/>
        <item sd="0" x="78"/>
        <item sd="0" x="77"/>
        <item sd="0" x="22"/>
        <item x="383"/>
        <item sd="0" x="75"/>
        <item sd="0" x="79"/>
        <item sd="0" x="118"/>
        <item sd="0" x="49"/>
        <item sd="0" x="132"/>
        <item x="273"/>
        <item x="183"/>
        <item sd="0" x="119"/>
        <item x="220"/>
        <item x="380"/>
        <item x="381"/>
        <item x="382"/>
        <item x="268"/>
        <item x="197"/>
        <item x="453"/>
        <item x="262"/>
        <item x="156"/>
        <item x="205"/>
        <item x="206"/>
        <item x="236"/>
        <item x="237"/>
        <item x="238"/>
        <item x="207"/>
        <item x="384"/>
        <item x="407"/>
        <item sd="0" x="74"/>
        <item sd="0" x="39"/>
        <item x="170"/>
        <item x="198"/>
        <item x="449"/>
        <item x="182"/>
        <item x="177"/>
        <item x="178"/>
        <item x="534"/>
        <item x="321"/>
        <item sd="0" x="130"/>
        <item x="208"/>
        <item x="342"/>
        <item x="215"/>
        <item x="395"/>
        <item sd="0" x="48"/>
        <item sd="0" x="55"/>
        <item sd="0" x="91"/>
        <item x="451"/>
        <item x="450"/>
        <item x="335"/>
        <item x="481"/>
        <item sd="0" x="562"/>
        <item sd="0" x="560"/>
        <item x="397"/>
        <item sd="0" x="124"/>
        <item sd="0" x="54"/>
        <item x="336"/>
        <item x="482"/>
        <item sd="0" x="563"/>
        <item sd="0" x="561"/>
        <item sd="0" x="71"/>
        <item sd="0" x="73"/>
        <item sd="0" x="53"/>
        <item sd="0" x="51"/>
        <item x="327"/>
        <item x="217"/>
        <item x="328"/>
        <item x="489"/>
        <item sd="0" x="6"/>
        <item x="490"/>
        <item x="491"/>
        <item sd="0" x="72"/>
        <item x="281"/>
        <item x="408"/>
        <item x="267"/>
        <item x="483"/>
        <item x="261"/>
        <item x="532"/>
        <item x="446"/>
        <item x="159"/>
        <item x="556"/>
        <item x="557"/>
        <item x="160"/>
        <item x="495"/>
        <item x="496"/>
        <item sd="0" x="18"/>
        <item x="319"/>
        <item x="334"/>
        <item sd="0" x="70"/>
        <item sd="0" x="40"/>
        <item x="176"/>
        <item x="485"/>
        <item x="169"/>
        <item x="244"/>
        <item x="245"/>
        <item x="257"/>
        <item x="196"/>
        <item x="259"/>
        <item x="470"/>
        <item x="269"/>
        <item x="477"/>
        <item sd="0" x="92"/>
        <item x="497"/>
        <item sd="0" x="17"/>
        <item sd="0" x="29"/>
        <item sd="0" x="33"/>
        <item x="138"/>
        <item sd="0" x="47"/>
        <item x="396"/>
        <item x="517"/>
        <item x="518"/>
        <item x="390"/>
        <item x="168"/>
        <item x="545"/>
        <item x="320"/>
        <item sd="0" x="520"/>
        <item sd="0" x="67"/>
        <item x="528"/>
        <item x="151"/>
        <item sd="0" x="80"/>
        <item sd="0" x="108"/>
        <item sd="0" x="113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318"/>
        <item sd="0" x="23"/>
        <item x="425"/>
        <item x="426"/>
        <item x="427"/>
        <item x="428"/>
        <item x="429"/>
        <item x="430"/>
        <item x="431"/>
        <item x="432"/>
        <item x="403"/>
        <item x="310"/>
        <item sd="0" x="14"/>
        <item x="404"/>
        <item x="311"/>
        <item sd="0" x="15"/>
        <item x="193"/>
        <item sd="0" x="109"/>
        <item sd="0" x="110"/>
        <item sd="0" x="114"/>
        <item sd="0" x="115"/>
        <item x="531"/>
        <item x="309"/>
        <item sd="0" x="16"/>
        <item x="507"/>
        <item sd="0" x="112"/>
        <item sd="0" x="3"/>
        <item sd="0" x="86"/>
        <item x="280"/>
        <item sd="0" x="107"/>
        <item x="190"/>
        <item x="192"/>
        <item x="191"/>
        <item sd="0" x="84"/>
        <item x="150"/>
        <item x="512"/>
        <item sd="0" x="137"/>
        <item sd="0" x="123"/>
        <item x="194"/>
        <item x="498"/>
        <item sd="0" x="64"/>
        <item x="508"/>
        <item x="394"/>
        <item x="513"/>
        <item x="509"/>
        <item x="494"/>
        <item x="533"/>
        <item sd="0" x="93"/>
        <item sd="0" x="94"/>
        <item sd="0" x="126"/>
        <item sd="0" x="50"/>
        <item x="535"/>
        <item sd="0" x="28"/>
        <item sd="0" x="1"/>
        <item x="476"/>
        <item x="474"/>
        <item x="475"/>
        <item sd="0" x="21"/>
        <item x="401"/>
        <item x="510"/>
        <item x="511"/>
        <item x="338"/>
        <item x="523"/>
        <item x="524"/>
        <item x="283"/>
        <item sd="0" x="8"/>
        <item sd="0" x="65"/>
        <item x="143"/>
        <item x="539"/>
        <item sd="0" x="46"/>
        <item x="546"/>
        <item sd="0" x="32"/>
        <item sd="0" x="95"/>
        <item x="554"/>
        <item sd="0" x="7"/>
        <item x="293"/>
        <item sd="0" x="69"/>
        <item x="296"/>
        <item x="312"/>
        <item x="313"/>
        <item x="167"/>
        <item x="166"/>
        <item x="240"/>
        <item x="299"/>
      </items>
    </pivotField>
  </pivotFields>
  <rowFields count="5">
    <field x="1"/>
    <field x="3"/>
    <field x="2"/>
    <field x="4"/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Items count="1">
    <i/>
  </colItems>
  <formats count="9">
    <format dxfId="11">
      <pivotArea type="all" dataOnly="0" outline="0" fieldPosition="0"/>
    </format>
    <format dxfId="10">
      <pivotArea dataOnly="0" labelOnly="1" outline="0" fieldPosition="0">
        <references count="1">
          <reference field="1" count="1">
            <x v="0"/>
          </reference>
        </references>
      </pivotArea>
    </format>
    <format dxfId="7">
      <pivotArea type="all" dataOnly="0" outline="0" fieldPosition="0"/>
    </format>
    <format dxfId="5">
      <pivotArea field="1" type="button" dataOnly="0" labelOnly="1" outline="0" axis="axisRow" fieldPosition="0"/>
    </format>
    <format dxfId="4">
      <pivotArea field="3" type="button" dataOnly="0" labelOnly="1" outline="0" axis="axisRow" fieldPosition="1"/>
    </format>
    <format dxfId="3">
      <pivotArea field="2" type="button" dataOnly="0" labelOnly="1" outline="0" axis="axisRow" fieldPosition="2"/>
    </format>
    <format dxfId="2">
      <pivotArea field="4" type="button" dataOnly="0" labelOnly="1" outline="0" axis="axisRow" fieldPosition="3"/>
    </format>
    <format dxfId="1">
      <pivotArea field="5" type="button" dataOnly="0" labelOnly="1" outline="0" axis="axisRow" fieldPosition="4"/>
    </format>
    <format dxfId="0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rgbClr val="32AB60">
            <a:alpha val="30000"/>
          </a:srgbClr>
        </a:solidFill>
        <a:ln w="9525" cmpd="sng">
          <a:solidFill>
            <a:srgbClr val="32AB60"/>
          </a:solidFill>
        </a:ln>
      </a:spPr>
      <a:bodyPr vertOverflow="clip" wrap="square" rtlCol="0" anchor="t"/>
      <a:lstStyle>
        <a:defPPr>
          <a:defRPr sz="1000" b="1" i="0" u="none">
            <a:solidFill>
              <a:srgbClr val="32AB60"/>
            </a:solidFill>
            <a:latin typeface="Arial" panose="020B0604020202020204" pitchFamily="34" charset="0"/>
            <a:cs typeface="Arial" panose="020B0604020202020204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Normal="100" workbookViewId="0">
      <selection activeCell="D2" sqref="D2"/>
    </sheetView>
  </sheetViews>
  <sheetFormatPr defaultRowHeight="13.8"/>
  <cols>
    <col min="1" max="5" width="40.59765625" style="7" customWidth="1"/>
  </cols>
  <sheetData>
    <row r="1" spans="1:5" s="5" customFormat="1">
      <c r="A1" s="6" t="s">
        <v>2321</v>
      </c>
      <c r="B1" s="6" t="s">
        <v>2322</v>
      </c>
      <c r="C1" s="6" t="s">
        <v>2323</v>
      </c>
      <c r="D1" s="6" t="s">
        <v>2324</v>
      </c>
      <c r="E1" s="6" t="s">
        <v>2325</v>
      </c>
    </row>
    <row r="2" spans="1:5" ht="27.6">
      <c r="A2" s="7" t="s">
        <v>2326</v>
      </c>
      <c r="B2" s="7" t="s">
        <v>2327</v>
      </c>
      <c r="C2" s="8">
        <v>0.63168981481481479</v>
      </c>
      <c r="D2" s="8">
        <v>0.63168981481481479</v>
      </c>
      <c r="E2" s="7">
        <v>37.002099999999999</v>
      </c>
    </row>
    <row r="3" spans="1:5" ht="27.6">
      <c r="A3" s="7" t="s">
        <v>2329</v>
      </c>
      <c r="B3" s="7" t="s">
        <v>2327</v>
      </c>
      <c r="C3" s="8">
        <v>0.72458333333333336</v>
      </c>
      <c r="D3" s="8">
        <v>0.72458333333333336</v>
      </c>
      <c r="E3" s="7">
        <v>68.003900000000002</v>
      </c>
    </row>
    <row r="4" spans="1:5" ht="27.6">
      <c r="A4" s="7" t="s">
        <v>2330</v>
      </c>
      <c r="B4" s="7" t="s">
        <v>2327</v>
      </c>
      <c r="C4" s="8">
        <v>0.78707175925925921</v>
      </c>
      <c r="D4" s="8">
        <v>0.78707175925925921</v>
      </c>
      <c r="E4" s="7">
        <v>70.004000000000005</v>
      </c>
    </row>
    <row r="5" spans="1:5" ht="27.6">
      <c r="A5" s="7" t="s">
        <v>2331</v>
      </c>
      <c r="B5" s="7" t="s">
        <v>2327</v>
      </c>
      <c r="C5" s="8">
        <v>0.60528935185185184</v>
      </c>
      <c r="D5" s="8">
        <v>0.60528935185185184</v>
      </c>
      <c r="E5" s="7">
        <v>149.0085</v>
      </c>
    </row>
    <row r="6" spans="1:5" ht="27.6">
      <c r="A6" s="7" t="s">
        <v>2333</v>
      </c>
      <c r="B6" s="7" t="s">
        <v>2327</v>
      </c>
      <c r="C6" s="8">
        <v>0.6372916666666667</v>
      </c>
      <c r="D6" s="8">
        <v>0.6372916666666667</v>
      </c>
      <c r="E6" s="7">
        <v>54.003100000000003</v>
      </c>
    </row>
    <row r="7" spans="1:5" ht="27.6">
      <c r="A7" s="7" t="s">
        <v>2334</v>
      </c>
      <c r="B7" s="7" t="s">
        <v>2327</v>
      </c>
      <c r="C7" s="8">
        <v>0.7674537037037038</v>
      </c>
      <c r="D7" s="8">
        <v>0.7674537037037038</v>
      </c>
      <c r="E7" s="7">
        <v>38.002200000000002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3780BF"/>
    <pageSetUpPr autoPageBreaks="0"/>
  </sheetPr>
  <dimension ref="A1:P27"/>
  <sheetViews>
    <sheetView showGridLines="0" zoomScaleNormal="100" workbookViewId="0">
      <selection activeCell="B1" sqref="B1"/>
    </sheetView>
  </sheetViews>
  <sheetFormatPr defaultColWidth="9" defaultRowHeight="14.4"/>
  <cols>
    <col min="1" max="1" width="4.19921875" style="50" customWidth="1"/>
    <col min="2" max="2" width="7.3984375" style="50" customWidth="1"/>
    <col min="3" max="3" width="11" style="50" customWidth="1"/>
    <col min="4" max="4" width="14.5" style="50" customWidth="1"/>
    <col min="5" max="12" width="9" style="50"/>
    <col min="13" max="14" width="10.19921875" style="50" customWidth="1"/>
    <col min="15" max="15" width="18.19921875" style="50" customWidth="1"/>
    <col min="16" max="16384" width="9" style="50"/>
  </cols>
  <sheetData>
    <row r="1" spans="1:16" s="49" customFormat="1" ht="33" customHeight="1" thickBot="1">
      <c r="A1" s="9"/>
      <c r="B1" s="58" t="s">
        <v>2357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17.399999999999999">
      <c r="B3" s="51" t="s">
        <v>52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6">
      <c r="B4" s="52"/>
    </row>
    <row r="5" spans="1:16">
      <c r="B5" s="53" t="s">
        <v>55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6" ht="18.75" customHeight="1">
      <c r="B6" s="54" t="s">
        <v>2342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</row>
    <row r="7" spans="1:16">
      <c r="B7" s="55" t="s">
        <v>2343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spans="1:16">
      <c r="B8" s="55" t="s">
        <v>2344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</row>
    <row r="9" spans="1:16">
      <c r="B9" s="11" t="s">
        <v>2345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 spans="1:16">
      <c r="B10" s="11" t="s">
        <v>2346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6">
      <c r="B11" s="11" t="s">
        <v>2347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1:16">
      <c r="B12" s="11" t="s">
        <v>2348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6">
      <c r="B13" s="55" t="s">
        <v>2349</v>
      </c>
      <c r="C13" s="55"/>
      <c r="D13" s="56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</row>
    <row r="14" spans="1:16">
      <c r="B14" s="55"/>
      <c r="C14" s="55"/>
      <c r="D14" s="57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spans="1:16">
      <c r="B15" s="53" t="s">
        <v>56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</row>
    <row r="16" spans="1:16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 spans="2:15">
      <c r="B17" s="11" t="s">
        <v>2350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 spans="2:15">
      <c r="B18" s="55" t="s">
        <v>2351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</row>
    <row r="19" spans="2:15">
      <c r="B19" s="55" t="s">
        <v>2352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2:15">
      <c r="B20" s="11" t="s">
        <v>2353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2:15">
      <c r="B21" s="11" t="s">
        <v>2354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 spans="2:15">
      <c r="B22" s="11" t="s">
        <v>2355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spans="2:15">
      <c r="B23" s="11" t="s">
        <v>2356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 spans="2:15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spans="2:15">
      <c r="B25" s="53" t="s">
        <v>2319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7" spans="2:15">
      <c r="B27" s="50" t="s">
        <v>2320</v>
      </c>
    </row>
  </sheetData>
  <pageMargins left="0.7" right="0.7" top="0.75" bottom="0.75" header="0.3" footer="0.3"/>
  <pageSetup paperSize="9" orientation="portrait" r:id="rId1"/>
  <headerFooter>
    <oddFooter>&amp;L&amp;1#&amp;"Calibri"&amp;8&amp;K000000Sensitivity: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autoPageBreaks="0"/>
  </sheetPr>
  <dimension ref="A1:AF1321"/>
  <sheetViews>
    <sheetView showGridLines="0" zoomScaleNormal="100" workbookViewId="0">
      <selection activeCell="B1" sqref="B1"/>
    </sheetView>
  </sheetViews>
  <sheetFormatPr defaultColWidth="9" defaultRowHeight="13.8"/>
  <cols>
    <col min="1" max="1" width="3.59765625" style="11" customWidth="1"/>
    <col min="2" max="2" width="5.59765625" style="11" customWidth="1"/>
    <col min="3" max="3" width="18.5" style="11" customWidth="1"/>
    <col min="4" max="4" width="18.19921875" style="11" customWidth="1"/>
    <col min="5" max="5" width="19.8984375" style="11" customWidth="1"/>
    <col min="6" max="6" width="18.3984375" style="11" bestFit="1" customWidth="1"/>
    <col min="7" max="7" width="17.09765625" style="11" customWidth="1"/>
    <col min="8" max="8" width="18.19921875" style="11" customWidth="1"/>
    <col min="9" max="17" width="9" style="11"/>
    <col min="18" max="18" width="26.3984375" style="11" customWidth="1"/>
    <col min="19" max="22" width="9" style="11"/>
    <col min="23" max="23" width="13" style="11" customWidth="1"/>
    <col min="24" max="31" width="9" style="11"/>
    <col min="32" max="32" width="81" style="11" bestFit="1" customWidth="1"/>
    <col min="33" max="16384" width="9" style="11"/>
  </cols>
  <sheetData>
    <row r="1" spans="1:32" s="10" customFormat="1" ht="33" customHeight="1" thickBot="1">
      <c r="A1" s="9"/>
      <c r="B1" s="58" t="s">
        <v>2358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32">
      <c r="R3" s="12" t="s">
        <v>3</v>
      </c>
      <c r="S3" s="11" t="s">
        <v>1</v>
      </c>
      <c r="T3" s="11" t="s">
        <v>2</v>
      </c>
      <c r="U3" s="11" t="s">
        <v>11</v>
      </c>
      <c r="W3" s="11" t="s">
        <v>12</v>
      </c>
      <c r="X3" s="11" t="s">
        <v>6</v>
      </c>
      <c r="Y3" s="11" t="s">
        <v>14</v>
      </c>
    </row>
    <row r="4" spans="1:32">
      <c r="E4" s="11" t="s">
        <v>0</v>
      </c>
      <c r="F4" s="13" t="s">
        <v>2338</v>
      </c>
      <c r="R4" s="14" t="s">
        <v>65</v>
      </c>
      <c r="U4" s="11" t="s">
        <v>25</v>
      </c>
      <c r="V4" s="11" t="s">
        <v>21</v>
      </c>
      <c r="W4" s="11" t="s">
        <v>9</v>
      </c>
      <c r="X4" s="11" t="s">
        <v>53</v>
      </c>
      <c r="Y4" s="11" t="s">
        <v>15</v>
      </c>
      <c r="Z4" s="11">
        <v>1</v>
      </c>
      <c r="AF4" s="15"/>
    </row>
    <row r="5" spans="1:32">
      <c r="E5" s="11" t="s">
        <v>1</v>
      </c>
      <c r="F5" s="13" t="s">
        <v>8</v>
      </c>
      <c r="R5" s="14" t="s">
        <v>58</v>
      </c>
      <c r="U5" s="11" t="s">
        <v>26</v>
      </c>
      <c r="V5" s="11" t="s">
        <v>22</v>
      </c>
      <c r="W5" s="11" t="s">
        <v>13</v>
      </c>
      <c r="X5" s="16" t="s">
        <v>2328</v>
      </c>
      <c r="Y5" s="11" t="s">
        <v>16</v>
      </c>
      <c r="Z5" s="11">
        <v>0</v>
      </c>
      <c r="AF5" s="15"/>
    </row>
    <row r="6" spans="1:32">
      <c r="E6" s="11" t="s">
        <v>2</v>
      </c>
      <c r="F6" s="17" t="s">
        <v>2341</v>
      </c>
      <c r="R6" s="14" t="s">
        <v>59</v>
      </c>
      <c r="U6" s="11" t="s">
        <v>27</v>
      </c>
      <c r="V6" s="11" t="s">
        <v>23</v>
      </c>
      <c r="W6" s="11" t="s">
        <v>18</v>
      </c>
      <c r="X6" s="11" t="s">
        <v>10</v>
      </c>
      <c r="AF6" s="15"/>
    </row>
    <row r="7" spans="1:32">
      <c r="E7" s="11" t="s">
        <v>4</v>
      </c>
      <c r="F7" s="18" t="s">
        <v>50</v>
      </c>
      <c r="G7" s="19" t="str">
        <f>VLOOKUP(F7,U4:V17,2,FALSE)</f>
        <v>D</v>
      </c>
      <c r="R7" s="14" t="s">
        <v>62</v>
      </c>
      <c r="U7" s="11" t="s">
        <v>28</v>
      </c>
      <c r="V7" s="11" t="s">
        <v>24</v>
      </c>
      <c r="W7" s="11" t="s">
        <v>17</v>
      </c>
      <c r="X7" s="11" t="s">
        <v>54</v>
      </c>
      <c r="AF7" s="15"/>
    </row>
    <row r="8" spans="1:32" ht="14.4">
      <c r="E8" s="11" t="s">
        <v>5</v>
      </c>
      <c r="F8" s="18" t="s">
        <v>18</v>
      </c>
      <c r="R8" s="1" t="s">
        <v>72</v>
      </c>
      <c r="U8" s="11" t="s">
        <v>29</v>
      </c>
      <c r="V8" s="11" t="s">
        <v>37</v>
      </c>
      <c r="AF8" s="15"/>
    </row>
    <row r="9" spans="1:32">
      <c r="E9" s="11" t="s">
        <v>6</v>
      </c>
      <c r="F9" s="18" t="s">
        <v>2328</v>
      </c>
      <c r="R9" s="11" t="s">
        <v>64</v>
      </c>
      <c r="U9" s="11" t="s">
        <v>30</v>
      </c>
      <c r="V9" s="11" t="s">
        <v>38</v>
      </c>
      <c r="AF9" s="15"/>
    </row>
    <row r="10" spans="1:32">
      <c r="E10" s="11" t="s">
        <v>7</v>
      </c>
      <c r="F10" s="20" t="s">
        <v>15</v>
      </c>
      <c r="G10" s="19">
        <f>VLOOKUP(F10,Y4:Z5,2,FALSE)</f>
        <v>1</v>
      </c>
      <c r="R10" s="14" t="s">
        <v>66</v>
      </c>
      <c r="U10" s="11" t="s">
        <v>31</v>
      </c>
      <c r="V10" s="11" t="s">
        <v>39</v>
      </c>
      <c r="AF10" s="15"/>
    </row>
    <row r="11" spans="1:32">
      <c r="R11" s="14"/>
      <c r="U11" s="11" t="s">
        <v>32</v>
      </c>
      <c r="V11" s="11" t="s">
        <v>40</v>
      </c>
      <c r="AF11" s="15"/>
    </row>
    <row r="12" spans="1:32">
      <c r="U12" s="11" t="s">
        <v>50</v>
      </c>
      <c r="V12" s="11" t="s">
        <v>41</v>
      </c>
      <c r="AF12" s="15"/>
    </row>
    <row r="13" spans="1:32">
      <c r="R13" s="14"/>
      <c r="U13" s="11" t="s">
        <v>33</v>
      </c>
      <c r="V13" s="11" t="s">
        <v>42</v>
      </c>
      <c r="AF13" s="15"/>
    </row>
    <row r="14" spans="1:32">
      <c r="R14" s="14"/>
      <c r="U14" s="11" t="s">
        <v>34</v>
      </c>
      <c r="V14" s="11" t="s">
        <v>43</v>
      </c>
      <c r="AF14" s="15"/>
    </row>
    <row r="15" spans="1:32">
      <c r="D15" s="21" t="s">
        <v>65</v>
      </c>
      <c r="E15" s="21" t="s">
        <v>58</v>
      </c>
      <c r="F15" s="21" t="s">
        <v>72</v>
      </c>
      <c r="G15" s="21" t="s">
        <v>64</v>
      </c>
      <c r="H15" s="20" t="s">
        <v>66</v>
      </c>
      <c r="R15" s="14"/>
      <c r="U15" s="11" t="s">
        <v>35</v>
      </c>
      <c r="V15" s="11" t="s">
        <v>44</v>
      </c>
      <c r="AF15" s="15"/>
    </row>
    <row r="16" spans="1:32" ht="15.75" customHeight="1">
      <c r="C16" s="22" t="str">
        <f>_xll.TR(F4,D15:H15,"Sdate:#1 Edate:#2 Frq:#3 Curn:#4 NULL:#5 Adjustment:#6 CH:Fd RH:Calcdate",,F5,F6,G7,F8,F9,G10)</f>
        <v>Updated at 15:42:48</v>
      </c>
      <c r="D16" s="23" t="s">
        <v>67</v>
      </c>
      <c r="E16" s="23" t="s">
        <v>60</v>
      </c>
      <c r="F16" s="23" t="s">
        <v>69</v>
      </c>
      <c r="G16" s="23" t="s">
        <v>70</v>
      </c>
      <c r="H16" s="23" t="s">
        <v>73</v>
      </c>
      <c r="R16" s="14"/>
      <c r="U16" s="11" t="s">
        <v>36</v>
      </c>
      <c r="V16" s="11" t="s">
        <v>45</v>
      </c>
      <c r="AF16" s="15"/>
    </row>
    <row r="17" spans="3:32">
      <c r="C17" s="24">
        <v>45835</v>
      </c>
      <c r="D17" s="25">
        <v>1.0575201738247799</v>
      </c>
      <c r="E17" s="25">
        <v>1.0575201738247799</v>
      </c>
      <c r="F17" s="25" t="s">
        <v>19</v>
      </c>
      <c r="G17" s="25">
        <v>1.07952337741607</v>
      </c>
      <c r="H17" s="26">
        <v>1.04273189693771</v>
      </c>
      <c r="R17" s="14"/>
      <c r="U17" s="11" t="s">
        <v>51</v>
      </c>
      <c r="V17" s="11" t="s">
        <v>46</v>
      </c>
      <c r="AF17" s="15"/>
    </row>
    <row r="18" spans="3:32">
      <c r="C18" s="24">
        <v>45834</v>
      </c>
      <c r="D18" s="25">
        <v>1.0575201738247799</v>
      </c>
      <c r="E18" s="25">
        <v>1.0575201738247799</v>
      </c>
      <c r="F18" s="25" t="s">
        <v>19</v>
      </c>
      <c r="G18" s="25">
        <v>1.07952337741607</v>
      </c>
      <c r="H18" s="26">
        <v>1.04273189693771</v>
      </c>
      <c r="R18" s="14"/>
      <c r="AF18" s="15"/>
    </row>
    <row r="19" spans="3:32" ht="14.4">
      <c r="C19" s="24">
        <v>45833</v>
      </c>
      <c r="D19" s="25">
        <v>1.0575201738247799</v>
      </c>
      <c r="E19" s="25">
        <v>1.0575201738247799</v>
      </c>
      <c r="F19" s="25" t="s">
        <v>19</v>
      </c>
      <c r="G19" s="25">
        <v>1.07952337741607</v>
      </c>
      <c r="H19" s="26">
        <v>1.04273189693771</v>
      </c>
      <c r="J19" s="27"/>
      <c r="R19" s="14"/>
      <c r="AF19" s="15"/>
    </row>
    <row r="20" spans="3:32" ht="14.4">
      <c r="C20" s="24">
        <v>45832</v>
      </c>
      <c r="D20" s="25">
        <v>1.0575201738247799</v>
      </c>
      <c r="E20" s="25">
        <v>1.0575201738247799</v>
      </c>
      <c r="F20" s="25" t="s">
        <v>19</v>
      </c>
      <c r="G20" s="25">
        <v>1.07952337741607</v>
      </c>
      <c r="H20" s="26">
        <v>1.04273189693771</v>
      </c>
      <c r="J20" s="28"/>
      <c r="R20" s="14"/>
      <c r="AF20" s="15"/>
    </row>
    <row r="21" spans="3:32" ht="14.4">
      <c r="C21" s="24">
        <v>45831</v>
      </c>
      <c r="D21" s="25">
        <v>1.0575201738247799</v>
      </c>
      <c r="E21" s="25">
        <v>1.0575201738247799</v>
      </c>
      <c r="F21" s="25" t="s">
        <v>19</v>
      </c>
      <c r="G21" s="25">
        <v>1.07952337741607</v>
      </c>
      <c r="H21" s="26">
        <v>1.04273189693771</v>
      </c>
      <c r="J21" s="28"/>
      <c r="R21" s="14"/>
      <c r="AF21" s="15"/>
    </row>
    <row r="22" spans="3:32" ht="14.4">
      <c r="C22" s="24">
        <v>45828</v>
      </c>
      <c r="D22" s="25">
        <v>1.0575201738247799</v>
      </c>
      <c r="E22" s="25">
        <v>1.0575201738247799</v>
      </c>
      <c r="F22" s="25" t="s">
        <v>19</v>
      </c>
      <c r="G22" s="25">
        <v>1.07952337741607</v>
      </c>
      <c r="H22" s="26">
        <v>1.04273189693771</v>
      </c>
      <c r="J22" s="28"/>
      <c r="R22" s="14"/>
      <c r="AF22" s="15"/>
    </row>
    <row r="23" spans="3:32" ht="14.4">
      <c r="C23" s="24">
        <v>45827</v>
      </c>
      <c r="D23" s="25">
        <v>1.0575201738247799</v>
      </c>
      <c r="E23" s="25">
        <v>1.0575201738247799</v>
      </c>
      <c r="F23" s="25" t="s">
        <v>19</v>
      </c>
      <c r="G23" s="25">
        <v>1.07952337741607</v>
      </c>
      <c r="H23" s="26">
        <v>1.04273189693771</v>
      </c>
      <c r="J23" s="28"/>
      <c r="R23" s="14"/>
      <c r="AF23" s="15"/>
    </row>
    <row r="24" spans="3:32" ht="14.4">
      <c r="C24" s="24">
        <v>45826</v>
      </c>
      <c r="D24" s="25">
        <v>1.0575201738247799</v>
      </c>
      <c r="E24" s="25">
        <v>1.0575201738247799</v>
      </c>
      <c r="F24" s="25" t="s">
        <v>19</v>
      </c>
      <c r="G24" s="25">
        <v>1.07952337741607</v>
      </c>
      <c r="H24" s="26">
        <v>1.04273189693771</v>
      </c>
      <c r="J24" s="28"/>
      <c r="R24" s="14"/>
      <c r="AF24" s="15"/>
    </row>
    <row r="25" spans="3:32" ht="14.4">
      <c r="C25" s="24">
        <v>45825</v>
      </c>
      <c r="D25" s="25">
        <v>1.0575201738247799</v>
      </c>
      <c r="E25" s="25">
        <v>1.0575201738247799</v>
      </c>
      <c r="F25" s="25" t="s">
        <v>19</v>
      </c>
      <c r="G25" s="25">
        <v>1.07952337741607</v>
      </c>
      <c r="H25" s="26">
        <v>1.04273189693771</v>
      </c>
      <c r="J25" s="28"/>
      <c r="AF25" s="15"/>
    </row>
    <row r="26" spans="3:32" ht="14.4">
      <c r="C26" s="24">
        <v>45824</v>
      </c>
      <c r="D26" s="25">
        <v>1.0575201738247799</v>
      </c>
      <c r="E26" s="25">
        <v>1.0575201738247799</v>
      </c>
      <c r="F26" s="25" t="s">
        <v>19</v>
      </c>
      <c r="G26" s="25">
        <v>1.07952337741607</v>
      </c>
      <c r="H26" s="26">
        <v>1.04273189693771</v>
      </c>
      <c r="J26" s="28"/>
      <c r="AF26" s="15"/>
    </row>
    <row r="27" spans="3:32" ht="14.4">
      <c r="C27" s="24">
        <v>45821</v>
      </c>
      <c r="D27" s="25">
        <v>1.0575201738247799</v>
      </c>
      <c r="E27" s="25">
        <v>1.0575201738247799</v>
      </c>
      <c r="F27" s="25" t="s">
        <v>19</v>
      </c>
      <c r="G27" s="25">
        <v>1.07952337741607</v>
      </c>
      <c r="H27" s="26">
        <v>1.04273189693771</v>
      </c>
      <c r="J27" s="28"/>
      <c r="AF27" s="15"/>
    </row>
    <row r="28" spans="3:32" ht="14.4">
      <c r="C28" s="24">
        <v>45820</v>
      </c>
      <c r="D28" s="25">
        <v>1.0575201738247799</v>
      </c>
      <c r="E28" s="25">
        <v>1.0575201738247799</v>
      </c>
      <c r="F28" s="25" t="s">
        <v>19</v>
      </c>
      <c r="G28" s="25">
        <v>1.0715477361071599</v>
      </c>
      <c r="H28" s="26">
        <v>1.04273189693771</v>
      </c>
      <c r="J28" s="28"/>
      <c r="AF28" s="15"/>
    </row>
    <row r="29" spans="3:32" ht="14.4">
      <c r="C29" s="24">
        <v>45819</v>
      </c>
      <c r="D29" s="25">
        <v>1.0575201738247799</v>
      </c>
      <c r="E29" s="25">
        <v>1.0575201738247799</v>
      </c>
      <c r="F29" s="25" t="s">
        <v>19</v>
      </c>
      <c r="G29" s="25">
        <v>1.0715477361071599</v>
      </c>
      <c r="H29" s="26">
        <v>1.04273189693771</v>
      </c>
      <c r="J29" s="28"/>
      <c r="AF29" s="15"/>
    </row>
    <row r="30" spans="3:32" ht="14.4">
      <c r="C30" s="24">
        <v>45818</v>
      </c>
      <c r="D30" s="25">
        <v>1.0575201738247799</v>
      </c>
      <c r="E30" s="25">
        <v>1.0575201738247799</v>
      </c>
      <c r="F30" s="25" t="s">
        <v>19</v>
      </c>
      <c r="G30" s="25">
        <v>1.0491264938970699</v>
      </c>
      <c r="H30" s="26">
        <v>1.04273189693771</v>
      </c>
      <c r="J30" s="28"/>
      <c r="AF30" s="15"/>
    </row>
    <row r="31" spans="3:32">
      <c r="C31" s="24">
        <v>45817</v>
      </c>
      <c r="D31" s="25">
        <v>1.0575201738247799</v>
      </c>
      <c r="E31" s="25">
        <v>1.0575201738247799</v>
      </c>
      <c r="F31" s="25" t="s">
        <v>19</v>
      </c>
      <c r="G31" s="25">
        <v>1.0491264938970699</v>
      </c>
      <c r="H31" s="26">
        <v>1.04273189693771</v>
      </c>
      <c r="AF31" s="15"/>
    </row>
    <row r="32" spans="3:32">
      <c r="C32" s="24">
        <v>45814</v>
      </c>
      <c r="D32" s="25">
        <v>1.0575201738247799</v>
      </c>
      <c r="E32" s="25">
        <v>1.0575201738247799</v>
      </c>
      <c r="F32" s="25" t="s">
        <v>19</v>
      </c>
      <c r="G32" s="25">
        <v>1.0464183073961599</v>
      </c>
      <c r="H32" s="26">
        <v>1.04273189693771</v>
      </c>
      <c r="AF32" s="15"/>
    </row>
    <row r="33" spans="3:32">
      <c r="C33" s="24">
        <v>45813</v>
      </c>
      <c r="D33" s="25">
        <v>1.0575201738247799</v>
      </c>
      <c r="E33" s="25">
        <v>1.0575201738247799</v>
      </c>
      <c r="F33" s="25" t="s">
        <v>19</v>
      </c>
      <c r="G33" s="25">
        <v>1.0464183073961599</v>
      </c>
      <c r="H33" s="26">
        <v>1.04273189693771</v>
      </c>
      <c r="AF33" s="15"/>
    </row>
    <row r="34" spans="3:32">
      <c r="C34" s="24">
        <v>45812</v>
      </c>
      <c r="D34" s="25">
        <v>1.0575201738247799</v>
      </c>
      <c r="E34" s="25">
        <v>1.0575201738247799</v>
      </c>
      <c r="F34" s="25" t="s">
        <v>19</v>
      </c>
      <c r="G34" s="25">
        <v>1.0464183073961599</v>
      </c>
      <c r="H34" s="26">
        <v>1.01839666657629</v>
      </c>
      <c r="AF34" s="15"/>
    </row>
    <row r="35" spans="3:32">
      <c r="C35" s="24">
        <v>45811</v>
      </c>
      <c r="D35" s="25">
        <v>1.0575201738247799</v>
      </c>
      <c r="E35" s="25">
        <v>1.0575201738247799</v>
      </c>
      <c r="F35" s="25" t="s">
        <v>19</v>
      </c>
      <c r="G35" s="25">
        <v>1.0280295599187499</v>
      </c>
      <c r="H35" s="26">
        <v>1.0254531260136199</v>
      </c>
      <c r="AF35" s="15"/>
    </row>
    <row r="36" spans="3:32">
      <c r="C36" s="24">
        <v>45810</v>
      </c>
      <c r="D36" s="25">
        <v>1.0575201738247799</v>
      </c>
      <c r="E36" s="25">
        <v>1.0575201738247799</v>
      </c>
      <c r="F36" s="25" t="s">
        <v>19</v>
      </c>
      <c r="G36" s="25">
        <v>1.0280295599187499</v>
      </c>
      <c r="H36" s="26">
        <v>0.975586843876178</v>
      </c>
      <c r="AF36" s="15"/>
    </row>
    <row r="37" spans="3:32">
      <c r="C37" s="24">
        <v>45807</v>
      </c>
      <c r="D37" s="25">
        <v>1.0575201738247799</v>
      </c>
      <c r="E37" s="25">
        <v>1.0575201738247799</v>
      </c>
      <c r="F37" s="25" t="s">
        <v>19</v>
      </c>
      <c r="G37" s="25">
        <v>1.01461031763122</v>
      </c>
      <c r="H37" s="26">
        <v>0.975586843876178</v>
      </c>
      <c r="AF37" s="15"/>
    </row>
    <row r="38" spans="3:32">
      <c r="C38" s="24">
        <v>45806</v>
      </c>
      <c r="D38" s="25">
        <v>1.0575201738247799</v>
      </c>
      <c r="E38" s="25">
        <v>1.0575201738247799</v>
      </c>
      <c r="F38" s="25" t="s">
        <v>19</v>
      </c>
      <c r="G38" s="25">
        <v>1.0701098420347299</v>
      </c>
      <c r="H38" s="26">
        <v>1.00474091712186</v>
      </c>
      <c r="AF38" s="15"/>
    </row>
    <row r="39" spans="3:32">
      <c r="C39" s="24">
        <v>45805</v>
      </c>
      <c r="D39" s="29">
        <v>1.0575201738247799</v>
      </c>
      <c r="E39" s="25">
        <v>1.0575201738247799</v>
      </c>
      <c r="F39" s="25" t="s">
        <v>19</v>
      </c>
      <c r="G39" s="25">
        <v>1.0701098420347299</v>
      </c>
      <c r="H39" s="26">
        <v>1.04700194918581</v>
      </c>
      <c r="AF39" s="15"/>
    </row>
    <row r="40" spans="3:32">
      <c r="C40" s="24">
        <v>45804</v>
      </c>
      <c r="D40" s="29">
        <v>1.0575201738247799</v>
      </c>
      <c r="E40" s="25">
        <v>1.0575201738247799</v>
      </c>
      <c r="F40" s="25" t="s">
        <v>19</v>
      </c>
      <c r="G40" s="25">
        <v>1.0701098420347299</v>
      </c>
      <c r="H40" s="26">
        <v>1.04700194918581</v>
      </c>
      <c r="AF40" s="15"/>
    </row>
    <row r="41" spans="3:32">
      <c r="C41" s="24">
        <v>45803</v>
      </c>
      <c r="D41" s="29">
        <v>1.0575201738247799</v>
      </c>
      <c r="E41" s="25">
        <v>1.0575201738247799</v>
      </c>
      <c r="F41" s="25" t="s">
        <v>19</v>
      </c>
      <c r="G41" s="25">
        <v>1.0701098420347299</v>
      </c>
      <c r="H41" s="26">
        <v>1.04700194918581</v>
      </c>
      <c r="AF41" s="15"/>
    </row>
    <row r="42" spans="3:32">
      <c r="C42" s="24">
        <v>45800</v>
      </c>
      <c r="D42" s="29">
        <v>1.0575201738247799</v>
      </c>
      <c r="E42" s="25">
        <v>1.0575201738247799</v>
      </c>
      <c r="F42" s="25" t="s">
        <v>19</v>
      </c>
      <c r="G42" s="25">
        <v>1.0701098420347299</v>
      </c>
      <c r="H42" s="26">
        <v>1.04700194918581</v>
      </c>
      <c r="AF42" s="15"/>
    </row>
    <row r="43" spans="3:32">
      <c r="C43" s="24">
        <v>45799</v>
      </c>
      <c r="D43" s="29">
        <v>1.0575201738247799</v>
      </c>
      <c r="E43" s="25">
        <v>1.0575201738247799</v>
      </c>
      <c r="F43" s="25" t="s">
        <v>19</v>
      </c>
      <c r="G43" s="25">
        <v>1.0400723797895099</v>
      </c>
      <c r="H43" s="26">
        <v>1.03804779826115</v>
      </c>
      <c r="AF43" s="15"/>
    </row>
    <row r="44" spans="3:32">
      <c r="C44" s="24">
        <v>45798</v>
      </c>
      <c r="D44" s="29">
        <v>1.0575201738247799</v>
      </c>
      <c r="E44" s="25">
        <v>1.0575201738247799</v>
      </c>
      <c r="F44" s="25" t="s">
        <v>19</v>
      </c>
      <c r="G44" s="25">
        <v>1.0400723797895099</v>
      </c>
      <c r="H44" s="26">
        <v>1.03804779826115</v>
      </c>
      <c r="AF44" s="15"/>
    </row>
    <row r="45" spans="3:32">
      <c r="C45" s="24">
        <v>45797</v>
      </c>
      <c r="D45" s="29">
        <v>1.0575201738247799</v>
      </c>
      <c r="E45" s="25">
        <v>1.0575201738247799</v>
      </c>
      <c r="F45" s="25" t="s">
        <v>19</v>
      </c>
      <c r="G45" s="25">
        <v>1.0400723797895099</v>
      </c>
      <c r="H45" s="26">
        <v>1.0415731899392</v>
      </c>
      <c r="AF45" s="15"/>
    </row>
    <row r="46" spans="3:32">
      <c r="C46" s="24">
        <v>45796</v>
      </c>
      <c r="D46" s="29">
        <v>1.0575201738247799</v>
      </c>
      <c r="E46" s="25">
        <v>1.0575201738247799</v>
      </c>
      <c r="F46" s="25" t="s">
        <v>19</v>
      </c>
      <c r="G46" s="25">
        <v>1.0400723797895099</v>
      </c>
      <c r="H46" s="26">
        <v>1.01308376179543</v>
      </c>
      <c r="AF46" s="15"/>
    </row>
    <row r="47" spans="3:32">
      <c r="C47" s="24">
        <v>45793</v>
      </c>
      <c r="D47" s="29">
        <v>1.0575201738247799</v>
      </c>
      <c r="E47" s="29">
        <v>1.0575201738247799</v>
      </c>
      <c r="F47" s="25" t="s">
        <v>19</v>
      </c>
      <c r="G47" s="29">
        <v>1.0400723797895099</v>
      </c>
      <c r="H47" s="30">
        <v>1.01308376179543</v>
      </c>
      <c r="AF47" s="15"/>
    </row>
    <row r="48" spans="3:32">
      <c r="C48" s="24">
        <v>45792</v>
      </c>
      <c r="D48" s="29">
        <v>1.0575201738247799</v>
      </c>
      <c r="E48" s="29">
        <v>1.0575201738247799</v>
      </c>
      <c r="F48" s="25" t="s">
        <v>19</v>
      </c>
      <c r="G48" s="29">
        <v>1.0395534791569701</v>
      </c>
      <c r="H48" s="30">
        <v>1.01423620370986</v>
      </c>
      <c r="AF48" s="15"/>
    </row>
    <row r="49" spans="3:32">
      <c r="C49" s="24">
        <v>45791</v>
      </c>
      <c r="D49" s="29">
        <v>1.0575201738247799</v>
      </c>
      <c r="E49" s="29">
        <v>1.0575201738247799</v>
      </c>
      <c r="F49" s="25" t="s">
        <v>19</v>
      </c>
      <c r="G49" s="29">
        <v>1.0472853748420099</v>
      </c>
      <c r="H49" s="30">
        <v>1.00687719806636</v>
      </c>
      <c r="AF49" s="15"/>
    </row>
    <row r="50" spans="3:32">
      <c r="C50" s="24">
        <v>45790</v>
      </c>
      <c r="D50" s="29">
        <v>1.0575201738247799</v>
      </c>
      <c r="E50" s="29">
        <v>1.0575201738247799</v>
      </c>
      <c r="F50" s="25" t="s">
        <v>19</v>
      </c>
      <c r="G50" s="29">
        <v>1.0472853748420099</v>
      </c>
      <c r="H50" s="30">
        <v>1.00687719806636</v>
      </c>
      <c r="AF50" s="15"/>
    </row>
    <row r="51" spans="3:32">
      <c r="C51" s="24">
        <v>45789</v>
      </c>
      <c r="D51" s="29">
        <v>1.0575201738247799</v>
      </c>
      <c r="E51" s="29">
        <v>1.0575201738247799</v>
      </c>
      <c r="F51" s="25" t="s">
        <v>19</v>
      </c>
      <c r="G51" s="29">
        <v>1.03954872956704</v>
      </c>
      <c r="H51" s="30">
        <v>1.00687719806636</v>
      </c>
      <c r="AF51" s="15"/>
    </row>
    <row r="52" spans="3:32">
      <c r="C52" s="24">
        <v>45786</v>
      </c>
      <c r="D52" s="29">
        <v>1.0575201738247799</v>
      </c>
      <c r="E52" s="29">
        <v>1.0575201738247799</v>
      </c>
      <c r="F52" s="25" t="s">
        <v>19</v>
      </c>
      <c r="G52" s="29">
        <v>1.0366092749092599</v>
      </c>
      <c r="H52" s="30">
        <v>1.0126584801441201</v>
      </c>
      <c r="AF52" s="15"/>
    </row>
    <row r="53" spans="3:32">
      <c r="C53" s="24">
        <v>45785</v>
      </c>
      <c r="D53" s="29">
        <v>1.0575201738247799</v>
      </c>
      <c r="E53" s="29">
        <v>1.0575201738247799</v>
      </c>
      <c r="F53" s="25" t="s">
        <v>19</v>
      </c>
      <c r="G53" s="29">
        <v>1.0366092749092599</v>
      </c>
      <c r="H53" s="30">
        <v>1.0126584801441201</v>
      </c>
      <c r="AF53" s="15"/>
    </row>
    <row r="54" spans="3:32">
      <c r="C54" s="24">
        <v>45784</v>
      </c>
      <c r="D54" s="29">
        <v>1.0575201738247799</v>
      </c>
      <c r="E54" s="29">
        <v>1.0575201738247799</v>
      </c>
      <c r="F54" s="25" t="s">
        <v>19</v>
      </c>
      <c r="G54" s="29">
        <v>0.95320516000160904</v>
      </c>
      <c r="H54" s="30">
        <v>0.98426876595405199</v>
      </c>
      <c r="AF54" s="15"/>
    </row>
    <row r="55" spans="3:32">
      <c r="C55" s="24">
        <v>45783</v>
      </c>
      <c r="D55" s="29">
        <v>1.0575201738247799</v>
      </c>
      <c r="E55" s="29">
        <v>1.0575201738247799</v>
      </c>
      <c r="F55" s="25" t="s">
        <v>19</v>
      </c>
      <c r="G55" s="29">
        <v>0.95320516000160904</v>
      </c>
      <c r="H55" s="30">
        <v>0.98307055583776704</v>
      </c>
      <c r="AF55" s="15"/>
    </row>
    <row r="56" spans="3:32">
      <c r="C56" s="24">
        <v>45782</v>
      </c>
      <c r="D56" s="29">
        <v>1.0575201738247799</v>
      </c>
      <c r="E56" s="29">
        <v>1.0575201738247799</v>
      </c>
      <c r="F56" s="25" t="s">
        <v>19</v>
      </c>
      <c r="G56" s="29">
        <v>0.95320516000160904</v>
      </c>
      <c r="H56" s="30">
        <v>1.3788952552265501</v>
      </c>
      <c r="AF56" s="15"/>
    </row>
    <row r="57" spans="3:32">
      <c r="C57" s="24">
        <v>45779</v>
      </c>
      <c r="D57" s="29">
        <v>1.0575201738247799</v>
      </c>
      <c r="E57" s="29">
        <v>1.0575201738247799</v>
      </c>
      <c r="F57" s="25" t="s">
        <v>19</v>
      </c>
      <c r="G57" s="29">
        <v>0.95320516000160904</v>
      </c>
      <c r="H57" s="30">
        <v>1.3788952552265501</v>
      </c>
      <c r="AF57" s="15"/>
    </row>
    <row r="58" spans="3:32">
      <c r="C58" s="24">
        <v>45778</v>
      </c>
      <c r="D58" s="29">
        <v>1.0575201738247799</v>
      </c>
      <c r="E58" s="29">
        <v>1.0575201738247799</v>
      </c>
      <c r="F58" s="25" t="s">
        <v>19</v>
      </c>
      <c r="G58" s="29">
        <v>0.95320516000160904</v>
      </c>
      <c r="H58" s="30">
        <v>1.3788952552265501</v>
      </c>
      <c r="AF58" s="15"/>
    </row>
    <row r="59" spans="3:32">
      <c r="C59" s="24">
        <v>45777</v>
      </c>
      <c r="D59" s="29">
        <v>1.0575201738247799</v>
      </c>
      <c r="E59" s="29">
        <v>1.0575201738247799</v>
      </c>
      <c r="F59" s="25" t="s">
        <v>19</v>
      </c>
      <c r="G59" s="29">
        <v>0.95320516000160904</v>
      </c>
      <c r="H59" s="30">
        <v>1.3788952552265501</v>
      </c>
      <c r="AF59" s="15"/>
    </row>
    <row r="60" spans="3:32">
      <c r="C60" s="24">
        <v>45776</v>
      </c>
      <c r="D60" s="29">
        <v>1.0575201738247799</v>
      </c>
      <c r="E60" s="29">
        <v>1.0575201738247799</v>
      </c>
      <c r="F60" s="25" t="s">
        <v>19</v>
      </c>
      <c r="G60" s="29">
        <v>0.95320516000160904</v>
      </c>
      <c r="H60" s="30">
        <v>1.3788952552265501</v>
      </c>
      <c r="AF60" s="15"/>
    </row>
    <row r="61" spans="3:32">
      <c r="C61" s="24">
        <v>45775</v>
      </c>
      <c r="D61" s="29">
        <v>1.0575201738247799</v>
      </c>
      <c r="E61" s="29">
        <v>1.0575201738247799</v>
      </c>
      <c r="F61" s="25" t="s">
        <v>19</v>
      </c>
      <c r="G61" s="29">
        <v>1.4094661349231301</v>
      </c>
      <c r="H61" s="30">
        <v>1.3788952552265501</v>
      </c>
      <c r="AF61" s="15"/>
    </row>
    <row r="62" spans="3:32">
      <c r="C62" s="24">
        <v>45772</v>
      </c>
      <c r="D62" s="29">
        <v>1.0575201738247799</v>
      </c>
      <c r="E62" s="29">
        <v>1.0575201738247799</v>
      </c>
      <c r="F62" s="25" t="s">
        <v>19</v>
      </c>
      <c r="G62" s="29">
        <v>1.4094661349231301</v>
      </c>
      <c r="H62" s="30">
        <v>1.3788952552265501</v>
      </c>
      <c r="AF62" s="15"/>
    </row>
    <row r="63" spans="3:32">
      <c r="C63" s="24">
        <v>45771</v>
      </c>
      <c r="D63" s="29">
        <v>1.0575201738247799</v>
      </c>
      <c r="E63" s="29">
        <v>1.0575201738247799</v>
      </c>
      <c r="F63" s="25" t="s">
        <v>19</v>
      </c>
      <c r="G63" s="29">
        <v>1.4094661349231301</v>
      </c>
      <c r="H63" s="30">
        <v>1.3788952552265501</v>
      </c>
      <c r="AF63" s="15"/>
    </row>
    <row r="64" spans="3:32">
      <c r="C64" s="24">
        <v>45770</v>
      </c>
      <c r="D64" s="29">
        <v>1.0575201738247799</v>
      </c>
      <c r="E64" s="29">
        <v>1.0575201738247799</v>
      </c>
      <c r="F64" s="25" t="s">
        <v>19</v>
      </c>
      <c r="G64" s="29">
        <v>1.4094661349231301</v>
      </c>
      <c r="H64" s="30">
        <v>1.3788952552265501</v>
      </c>
      <c r="AF64" s="15"/>
    </row>
    <row r="65" spans="3:32">
      <c r="C65" s="24">
        <v>45769</v>
      </c>
      <c r="D65" s="29">
        <v>1.0575201738247799</v>
      </c>
      <c r="E65" s="29">
        <v>1.0575201738247799</v>
      </c>
      <c r="F65" s="25" t="s">
        <v>19</v>
      </c>
      <c r="G65" s="29">
        <v>1.4094661349231301</v>
      </c>
      <c r="H65" s="30">
        <v>1.3788952552265501</v>
      </c>
      <c r="AF65" s="15"/>
    </row>
    <row r="66" spans="3:32">
      <c r="C66" s="24">
        <v>45768</v>
      </c>
      <c r="D66" s="29">
        <v>1.0575201738247799</v>
      </c>
      <c r="E66" s="29">
        <v>1.0575201738247799</v>
      </c>
      <c r="F66" s="25" t="s">
        <v>19</v>
      </c>
      <c r="G66" s="29">
        <v>1.4094661349231301</v>
      </c>
      <c r="H66" s="30">
        <v>1.3788952552265501</v>
      </c>
      <c r="AF66" s="15"/>
    </row>
    <row r="67" spans="3:32">
      <c r="C67" s="24">
        <v>45765</v>
      </c>
      <c r="D67" s="29">
        <v>1.0575201738247799</v>
      </c>
      <c r="E67" s="29">
        <v>1.0575201738247799</v>
      </c>
      <c r="F67" s="25" t="s">
        <v>19</v>
      </c>
      <c r="G67" s="29">
        <v>1.4094661349231301</v>
      </c>
      <c r="H67" s="30">
        <v>1.3788952552265501</v>
      </c>
      <c r="AF67" s="15"/>
    </row>
    <row r="68" spans="3:32">
      <c r="C68" s="24">
        <v>45764</v>
      </c>
      <c r="D68" s="29">
        <v>1.0575201738247799</v>
      </c>
      <c r="E68" s="29">
        <v>1.0575201738247799</v>
      </c>
      <c r="F68" s="25" t="s">
        <v>19</v>
      </c>
      <c r="G68" s="29">
        <v>1.4094661349231301</v>
      </c>
      <c r="H68" s="30">
        <v>1.3788952552265501</v>
      </c>
      <c r="AF68" s="15"/>
    </row>
    <row r="69" spans="3:32">
      <c r="C69" s="24">
        <v>45763</v>
      </c>
      <c r="D69" s="29">
        <v>1.0575201738247799</v>
      </c>
      <c r="E69" s="29">
        <v>1.0575201738247799</v>
      </c>
      <c r="F69" s="25" t="s">
        <v>19</v>
      </c>
      <c r="G69" s="29">
        <v>1.4094661349231301</v>
      </c>
      <c r="H69" s="30">
        <v>1.3788952552265501</v>
      </c>
      <c r="AF69" s="15"/>
    </row>
    <row r="70" spans="3:32">
      <c r="C70" s="24">
        <v>45762</v>
      </c>
      <c r="D70" s="29">
        <v>1.0575201738247799</v>
      </c>
      <c r="E70" s="29">
        <v>1.0575201738247799</v>
      </c>
      <c r="F70" s="25" t="s">
        <v>19</v>
      </c>
      <c r="G70" s="29">
        <v>1.4094661349231301</v>
      </c>
      <c r="H70" s="30">
        <v>1.3788952552265501</v>
      </c>
      <c r="AF70" s="15"/>
    </row>
    <row r="71" spans="3:32">
      <c r="C71" s="24">
        <v>45761</v>
      </c>
      <c r="D71" s="29">
        <v>1.0575201738247799</v>
      </c>
      <c r="E71" s="29">
        <v>1.0575201738247799</v>
      </c>
      <c r="F71" s="25" t="s">
        <v>19</v>
      </c>
      <c r="G71" s="29">
        <v>1.4094661349231301</v>
      </c>
      <c r="H71" s="30">
        <v>1.3788952552265501</v>
      </c>
      <c r="AF71" s="15"/>
    </row>
    <row r="72" spans="3:32">
      <c r="C72" s="24">
        <v>45758</v>
      </c>
      <c r="D72" s="29">
        <v>1.0575201738247799</v>
      </c>
      <c r="E72" s="29">
        <v>1.0575201738247799</v>
      </c>
      <c r="F72" s="25" t="s">
        <v>19</v>
      </c>
      <c r="G72" s="29">
        <v>1.4094661349231301</v>
      </c>
      <c r="H72" s="30">
        <v>1.3788952552265501</v>
      </c>
      <c r="AF72" s="15"/>
    </row>
    <row r="73" spans="3:32">
      <c r="C73" s="24">
        <v>45757</v>
      </c>
      <c r="D73" s="29">
        <v>1.0575201738247799</v>
      </c>
      <c r="E73" s="29">
        <v>1.0575201738247799</v>
      </c>
      <c r="F73" s="25" t="s">
        <v>19</v>
      </c>
      <c r="G73" s="29">
        <v>1.4094661349231301</v>
      </c>
      <c r="H73" s="30">
        <v>1.3788952552265501</v>
      </c>
      <c r="AF73" s="15"/>
    </row>
    <row r="74" spans="3:32">
      <c r="C74" s="24">
        <v>45756</v>
      </c>
      <c r="D74" s="29">
        <v>1.0575201738247799</v>
      </c>
      <c r="E74" s="29">
        <v>1.0575201738247799</v>
      </c>
      <c r="F74" s="25" t="s">
        <v>19</v>
      </c>
      <c r="G74" s="29">
        <v>1.4094661349231301</v>
      </c>
      <c r="H74" s="30">
        <v>1.3788952552265501</v>
      </c>
      <c r="AF74" s="15"/>
    </row>
    <row r="75" spans="3:32">
      <c r="C75" s="24">
        <v>45755</v>
      </c>
      <c r="D75" s="29">
        <v>1.0575201738247799</v>
      </c>
      <c r="E75" s="29">
        <v>1.0575201738247799</v>
      </c>
      <c r="F75" s="25" t="s">
        <v>19</v>
      </c>
      <c r="G75" s="29">
        <v>1.4094661349231301</v>
      </c>
      <c r="H75" s="30">
        <v>1.3788952552265501</v>
      </c>
      <c r="AF75" s="15"/>
    </row>
    <row r="76" spans="3:32">
      <c r="C76" s="24">
        <v>45754</v>
      </c>
      <c r="D76" s="29">
        <v>1.0575201738247799</v>
      </c>
      <c r="E76" s="29">
        <v>1.0575201738247799</v>
      </c>
      <c r="F76" s="25" t="s">
        <v>19</v>
      </c>
      <c r="G76" s="29">
        <v>1.4094661349231301</v>
      </c>
      <c r="H76" s="30">
        <v>1.3788952552265501</v>
      </c>
      <c r="AF76" s="15"/>
    </row>
    <row r="77" spans="3:32">
      <c r="C77" s="24">
        <v>45751</v>
      </c>
      <c r="D77" s="29">
        <v>1.0575201738247799</v>
      </c>
      <c r="E77" s="29">
        <v>1.0575201738247799</v>
      </c>
      <c r="F77" s="25" t="s">
        <v>19</v>
      </c>
      <c r="G77" s="29">
        <v>1.4094661349231301</v>
      </c>
      <c r="H77" s="30">
        <v>1.3788952552265501</v>
      </c>
      <c r="AF77" s="15"/>
    </row>
    <row r="78" spans="3:32">
      <c r="C78" s="24">
        <v>45750</v>
      </c>
      <c r="D78" s="29">
        <v>1.0575201738247799</v>
      </c>
      <c r="E78" s="29">
        <v>1.0575201738247799</v>
      </c>
      <c r="F78" s="25" t="s">
        <v>19</v>
      </c>
      <c r="G78" s="29">
        <v>1.4094661349231301</v>
      </c>
      <c r="H78" s="30">
        <v>1.3788952552265501</v>
      </c>
      <c r="AF78" s="15"/>
    </row>
    <row r="79" spans="3:32">
      <c r="C79" s="24">
        <v>45749</v>
      </c>
      <c r="D79" s="29">
        <v>1.0575201738247799</v>
      </c>
      <c r="E79" s="29">
        <v>1.0575201738247799</v>
      </c>
      <c r="F79" s="25" t="s">
        <v>19</v>
      </c>
      <c r="G79" s="29">
        <v>1.4094661349231301</v>
      </c>
      <c r="H79" s="30">
        <v>1.3788952552265501</v>
      </c>
      <c r="AF79" s="15"/>
    </row>
    <row r="80" spans="3:32">
      <c r="C80" s="24">
        <v>45748</v>
      </c>
      <c r="D80" s="29">
        <v>1.0575201738247799</v>
      </c>
      <c r="E80" s="29">
        <v>1.0575201738247799</v>
      </c>
      <c r="F80" s="25" t="s">
        <v>19</v>
      </c>
      <c r="G80" s="29">
        <v>1.4094661349231301</v>
      </c>
      <c r="H80" s="30">
        <v>1.3788952552265501</v>
      </c>
      <c r="AF80" s="15"/>
    </row>
    <row r="81" spans="3:32">
      <c r="C81" s="24">
        <v>45747</v>
      </c>
      <c r="D81" s="29">
        <v>1.0575201738247799</v>
      </c>
      <c r="E81" s="29">
        <v>1.0575201738247799</v>
      </c>
      <c r="F81" s="25" t="s">
        <v>19</v>
      </c>
      <c r="G81" s="29">
        <v>1.4094661349231301</v>
      </c>
      <c r="H81" s="30">
        <v>1.3788952552265501</v>
      </c>
      <c r="AF81" s="15"/>
    </row>
    <row r="82" spans="3:32">
      <c r="C82" s="24">
        <v>45744</v>
      </c>
      <c r="D82" s="29">
        <v>1.0575201738247799</v>
      </c>
      <c r="E82" s="29">
        <v>1.0575201738247799</v>
      </c>
      <c r="F82" s="25" t="s">
        <v>19</v>
      </c>
      <c r="G82" s="29">
        <v>1.4094661349231301</v>
      </c>
      <c r="H82" s="30">
        <v>1.3788952552265501</v>
      </c>
      <c r="AF82" s="15"/>
    </row>
    <row r="83" spans="3:32">
      <c r="C83" s="24">
        <v>45743</v>
      </c>
      <c r="D83" s="29">
        <v>1.0575201738247799</v>
      </c>
      <c r="E83" s="29">
        <v>1.0575201738247799</v>
      </c>
      <c r="F83" s="25" t="s">
        <v>19</v>
      </c>
      <c r="G83" s="29">
        <v>1.4094661349231301</v>
      </c>
      <c r="H83" s="30">
        <v>1.3788952552265501</v>
      </c>
      <c r="AF83" s="15"/>
    </row>
    <row r="84" spans="3:32">
      <c r="C84" s="24">
        <v>45742</v>
      </c>
      <c r="D84" s="29">
        <v>1.0575201738247799</v>
      </c>
      <c r="E84" s="29">
        <v>1.0575201738247799</v>
      </c>
      <c r="F84" s="25" t="s">
        <v>19</v>
      </c>
      <c r="G84" s="29">
        <v>1.4094661349231301</v>
      </c>
      <c r="H84" s="30">
        <v>1.3788952552265501</v>
      </c>
      <c r="AF84" s="15"/>
    </row>
    <row r="85" spans="3:32">
      <c r="C85" s="24">
        <v>45741</v>
      </c>
      <c r="D85" s="29">
        <v>1.0575201738247799</v>
      </c>
      <c r="E85" s="29">
        <v>1.0575201738247799</v>
      </c>
      <c r="F85" s="25" t="s">
        <v>19</v>
      </c>
      <c r="G85" s="29">
        <v>1.4094661349231301</v>
      </c>
      <c r="H85" s="30">
        <v>1.3788952552265501</v>
      </c>
      <c r="AF85" s="15"/>
    </row>
    <row r="86" spans="3:32">
      <c r="C86" s="24">
        <v>45740</v>
      </c>
      <c r="D86" s="29">
        <v>1.0575201738247799</v>
      </c>
      <c r="E86" s="29">
        <v>1.0575201738247799</v>
      </c>
      <c r="F86" s="25" t="s">
        <v>19</v>
      </c>
      <c r="G86" s="29">
        <v>1.4094661349231301</v>
      </c>
      <c r="H86" s="30">
        <v>1.3788952552265501</v>
      </c>
      <c r="AF86" s="15"/>
    </row>
    <row r="87" spans="3:32">
      <c r="C87" s="24">
        <v>45737</v>
      </c>
      <c r="D87" s="29">
        <v>1.0575201738247799</v>
      </c>
      <c r="E87" s="29">
        <v>1.0575201738247799</v>
      </c>
      <c r="F87" s="25" t="s">
        <v>19</v>
      </c>
      <c r="G87" s="29">
        <v>1.4094661349231301</v>
      </c>
      <c r="H87" s="30">
        <v>1.3788952552265501</v>
      </c>
      <c r="AF87" s="15"/>
    </row>
    <row r="88" spans="3:32">
      <c r="C88" s="24">
        <v>45736</v>
      </c>
      <c r="D88" s="29">
        <v>1.0575201738247799</v>
      </c>
      <c r="E88" s="29">
        <v>1.0575201738247799</v>
      </c>
      <c r="F88" s="25" t="s">
        <v>19</v>
      </c>
      <c r="G88" s="29">
        <v>1.4094661349231301</v>
      </c>
      <c r="H88" s="30">
        <v>1.3788952552265501</v>
      </c>
      <c r="AF88" s="15"/>
    </row>
    <row r="89" spans="3:32">
      <c r="C89" s="24">
        <v>45735</v>
      </c>
      <c r="D89" s="29">
        <v>1.0575201738247799</v>
      </c>
      <c r="E89" s="29">
        <v>1.0575201738247799</v>
      </c>
      <c r="F89" s="25" t="s">
        <v>19</v>
      </c>
      <c r="G89" s="29">
        <v>1.4094661349231301</v>
      </c>
      <c r="H89" s="30">
        <v>1.3788952552265501</v>
      </c>
      <c r="AF89" s="15"/>
    </row>
    <row r="90" spans="3:32">
      <c r="C90" s="24">
        <v>45734</v>
      </c>
      <c r="D90" s="29">
        <v>1.0575201738247799</v>
      </c>
      <c r="E90" s="29">
        <v>1.0575201738247799</v>
      </c>
      <c r="F90" s="25" t="s">
        <v>19</v>
      </c>
      <c r="G90" s="29">
        <v>1.4094661349231301</v>
      </c>
      <c r="H90" s="30">
        <v>1.3788952552265501</v>
      </c>
      <c r="AF90" s="15"/>
    </row>
    <row r="91" spans="3:32">
      <c r="C91" s="24">
        <v>45733</v>
      </c>
      <c r="D91" s="29">
        <v>1.0575201738247799</v>
      </c>
      <c r="E91" s="29">
        <v>1.0575201738247799</v>
      </c>
      <c r="F91" s="25" t="s">
        <v>19</v>
      </c>
      <c r="G91" s="29">
        <v>1.4094661349231301</v>
      </c>
      <c r="H91" s="30">
        <v>1.3788952552265501</v>
      </c>
      <c r="AF91" s="15"/>
    </row>
    <row r="92" spans="3:32">
      <c r="C92" s="24">
        <v>45730</v>
      </c>
      <c r="D92" s="29">
        <v>1.0575201738247799</v>
      </c>
      <c r="E92" s="29">
        <v>1.0575201738247799</v>
      </c>
      <c r="F92" s="25" t="s">
        <v>19</v>
      </c>
      <c r="G92" s="29">
        <v>1.4094661349231301</v>
      </c>
      <c r="H92" s="30">
        <v>1.3788952552265501</v>
      </c>
      <c r="AF92" s="15"/>
    </row>
    <row r="93" spans="3:32">
      <c r="C93" s="24">
        <v>45729</v>
      </c>
      <c r="D93" s="29">
        <v>1.0575201738247799</v>
      </c>
      <c r="E93" s="29">
        <v>1.0575201738247799</v>
      </c>
      <c r="F93" s="25" t="s">
        <v>19</v>
      </c>
      <c r="G93" s="29">
        <v>1.4094661349231301</v>
      </c>
      <c r="H93" s="30">
        <v>1.3788952552265501</v>
      </c>
      <c r="AF93" s="15"/>
    </row>
    <row r="94" spans="3:32">
      <c r="C94" s="24">
        <v>45728</v>
      </c>
      <c r="D94" s="29">
        <v>1.0575201738247799</v>
      </c>
      <c r="E94" s="29">
        <v>1.0575201738247799</v>
      </c>
      <c r="F94" s="25" t="s">
        <v>19</v>
      </c>
      <c r="G94" s="29">
        <v>1.4094661349231301</v>
      </c>
      <c r="H94" s="30">
        <v>1.3788952552265501</v>
      </c>
      <c r="AF94" s="15"/>
    </row>
    <row r="95" spans="3:32">
      <c r="C95" s="24">
        <v>45727</v>
      </c>
      <c r="D95" s="29">
        <v>1.0575201738247799</v>
      </c>
      <c r="E95" s="29">
        <v>1.0575201738247799</v>
      </c>
      <c r="F95" s="25" t="s">
        <v>19</v>
      </c>
      <c r="G95" s="29">
        <v>1.4094661349231301</v>
      </c>
      <c r="H95" s="30">
        <v>1.3788952552265501</v>
      </c>
      <c r="AF95" s="15"/>
    </row>
    <row r="96" spans="3:32">
      <c r="C96" s="24">
        <v>45726</v>
      </c>
      <c r="D96" s="29">
        <v>1.0575201738247799</v>
      </c>
      <c r="E96" s="29">
        <v>1.0575201738247799</v>
      </c>
      <c r="F96" s="25" t="s">
        <v>19</v>
      </c>
      <c r="G96" s="29">
        <v>1.4094661349231301</v>
      </c>
      <c r="H96" s="30">
        <v>1.3788952552265501</v>
      </c>
      <c r="AF96" s="15"/>
    </row>
    <row r="97" spans="3:32">
      <c r="C97" s="24">
        <v>45723</v>
      </c>
      <c r="D97" s="29">
        <v>1.0575201738247799</v>
      </c>
      <c r="E97" s="29">
        <v>1.0575201738247799</v>
      </c>
      <c r="F97" s="25" t="s">
        <v>19</v>
      </c>
      <c r="G97" s="29">
        <v>1.4094661349231301</v>
      </c>
      <c r="H97" s="30">
        <v>1.3788952552265501</v>
      </c>
      <c r="AF97" s="15"/>
    </row>
    <row r="98" spans="3:32">
      <c r="C98" s="24">
        <v>45722</v>
      </c>
      <c r="D98" s="29">
        <v>1.0575201738247799</v>
      </c>
      <c r="E98" s="29">
        <v>1.0575201738247799</v>
      </c>
      <c r="F98" s="25" t="s">
        <v>19</v>
      </c>
      <c r="G98" s="29">
        <v>1.4094661349231301</v>
      </c>
      <c r="H98" s="30">
        <v>1.3788952552265501</v>
      </c>
      <c r="AF98" s="15"/>
    </row>
    <row r="99" spans="3:32">
      <c r="C99" s="24">
        <v>45721</v>
      </c>
      <c r="D99" s="29">
        <v>1.0575201738247799</v>
      </c>
      <c r="E99" s="29">
        <v>1.0575201738247799</v>
      </c>
      <c r="F99" s="25" t="s">
        <v>19</v>
      </c>
      <c r="G99" s="29">
        <v>1.4094661349231301</v>
      </c>
      <c r="H99" s="30">
        <v>1.3788952552265501</v>
      </c>
      <c r="AF99" s="15"/>
    </row>
    <row r="100" spans="3:32">
      <c r="C100" s="24">
        <v>45720</v>
      </c>
      <c r="D100" s="29">
        <v>1.0575201738247799</v>
      </c>
      <c r="E100" s="29">
        <v>1.0575201738247799</v>
      </c>
      <c r="F100" s="25" t="s">
        <v>19</v>
      </c>
      <c r="G100" s="29">
        <v>1.4094661349231301</v>
      </c>
      <c r="H100" s="30">
        <v>1.3788952552265501</v>
      </c>
      <c r="AF100" s="15"/>
    </row>
    <row r="101" spans="3:32">
      <c r="C101" s="24">
        <v>45719</v>
      </c>
      <c r="D101" s="29">
        <v>1.0575201738247799</v>
      </c>
      <c r="E101" s="29">
        <v>1.0575201738247799</v>
      </c>
      <c r="F101" s="25" t="s">
        <v>19</v>
      </c>
      <c r="G101" s="29">
        <v>1.4094661349231301</v>
      </c>
      <c r="H101" s="30">
        <v>1.3788952552265501</v>
      </c>
      <c r="AF101" s="15"/>
    </row>
    <row r="102" spans="3:32">
      <c r="C102" s="24">
        <v>45716</v>
      </c>
      <c r="D102" s="29">
        <v>1.0575201738247799</v>
      </c>
      <c r="E102" s="29">
        <v>1.0575201738247799</v>
      </c>
      <c r="F102" s="25" t="s">
        <v>19</v>
      </c>
      <c r="G102" s="29">
        <v>1.4094661349231301</v>
      </c>
      <c r="H102" s="30">
        <v>1.3788952552265501</v>
      </c>
      <c r="AF102" s="15"/>
    </row>
    <row r="103" spans="3:32">
      <c r="C103" s="24">
        <v>45715</v>
      </c>
      <c r="D103" s="29">
        <v>1.0575201738247799</v>
      </c>
      <c r="E103" s="29">
        <v>1.0575201738247799</v>
      </c>
      <c r="F103" s="25" t="s">
        <v>19</v>
      </c>
      <c r="G103" s="29">
        <v>1.4094661349231301</v>
      </c>
      <c r="H103" s="30">
        <v>1.3788952552265501</v>
      </c>
      <c r="AF103" s="15"/>
    </row>
    <row r="104" spans="3:32">
      <c r="C104" s="24">
        <v>45714</v>
      </c>
      <c r="D104" s="29">
        <v>1.0575201738247799</v>
      </c>
      <c r="E104" s="29">
        <v>1.0575201738247799</v>
      </c>
      <c r="F104" s="25" t="s">
        <v>19</v>
      </c>
      <c r="G104" s="29">
        <v>1.4094661349231301</v>
      </c>
      <c r="H104" s="30">
        <v>1.3788952552265501</v>
      </c>
      <c r="AF104" s="15"/>
    </row>
    <row r="105" spans="3:32">
      <c r="C105" s="24">
        <v>45713</v>
      </c>
      <c r="D105" s="29">
        <v>1.0575201738247799</v>
      </c>
      <c r="E105" s="29">
        <v>1.0575201738247799</v>
      </c>
      <c r="F105" s="25" t="s">
        <v>19</v>
      </c>
      <c r="G105" s="29">
        <v>1.4094661349231301</v>
      </c>
      <c r="H105" s="30">
        <v>1.3788952552265501</v>
      </c>
      <c r="AF105" s="15"/>
    </row>
    <row r="106" spans="3:32">
      <c r="C106" s="24">
        <v>45712</v>
      </c>
      <c r="D106" s="29">
        <v>1.0575201738247799</v>
      </c>
      <c r="E106" s="29">
        <v>1.0575201738247799</v>
      </c>
      <c r="F106" s="25" t="s">
        <v>19</v>
      </c>
      <c r="G106" s="29">
        <v>1.4094661349231301</v>
      </c>
      <c r="H106" s="30">
        <v>1.3788952552265501</v>
      </c>
      <c r="AF106" s="15"/>
    </row>
    <row r="107" spans="3:32">
      <c r="C107" s="24">
        <v>45709</v>
      </c>
      <c r="D107" s="29">
        <v>1.0575201738247799</v>
      </c>
      <c r="E107" s="29">
        <v>1.0575201738247799</v>
      </c>
      <c r="F107" s="25" t="s">
        <v>19</v>
      </c>
      <c r="G107" s="29">
        <v>1.4094661349231301</v>
      </c>
      <c r="H107" s="30">
        <v>1.3788952552265501</v>
      </c>
      <c r="AF107" s="15"/>
    </row>
    <row r="108" spans="3:32">
      <c r="C108" s="24">
        <v>45708</v>
      </c>
      <c r="D108" s="29">
        <v>1.0575201738247799</v>
      </c>
      <c r="E108" s="29">
        <v>1.0575201738247799</v>
      </c>
      <c r="F108" s="25" t="s">
        <v>19</v>
      </c>
      <c r="G108" s="29">
        <v>1.4094661349231301</v>
      </c>
      <c r="H108" s="30">
        <v>1.3788952552265501</v>
      </c>
      <c r="AF108" s="15"/>
    </row>
    <row r="109" spans="3:32">
      <c r="C109" s="24">
        <v>45707</v>
      </c>
      <c r="D109" s="29">
        <v>1.0575201738247799</v>
      </c>
      <c r="E109" s="29">
        <v>1.0575201738247799</v>
      </c>
      <c r="F109" s="25" t="s">
        <v>19</v>
      </c>
      <c r="G109" s="29">
        <v>1.4094661349231301</v>
      </c>
      <c r="H109" s="30">
        <v>1.3788952552265501</v>
      </c>
      <c r="AF109" s="15"/>
    </row>
    <row r="110" spans="3:32">
      <c r="C110" s="24">
        <v>45706</v>
      </c>
      <c r="D110" s="29">
        <v>1.0575201738247799</v>
      </c>
      <c r="E110" s="29">
        <v>1.0575201738247799</v>
      </c>
      <c r="F110" s="25" t="s">
        <v>19</v>
      </c>
      <c r="G110" s="29">
        <v>1.4094661349231301</v>
      </c>
      <c r="H110" s="30">
        <v>1.3788952552265501</v>
      </c>
      <c r="AF110" s="15"/>
    </row>
    <row r="111" spans="3:32">
      <c r="C111" s="24">
        <v>45705</v>
      </c>
      <c r="D111" s="29">
        <v>1.0575201738247799</v>
      </c>
      <c r="E111" s="29">
        <v>1.0575201738247799</v>
      </c>
      <c r="F111" s="25" t="s">
        <v>19</v>
      </c>
      <c r="G111" s="29">
        <v>1.4094661349231301</v>
      </c>
      <c r="H111" s="30">
        <v>1.3788952552265501</v>
      </c>
      <c r="AF111" s="15"/>
    </row>
    <row r="112" spans="3:32">
      <c r="C112" s="24">
        <v>45702</v>
      </c>
      <c r="D112" s="29">
        <v>1.0575201738247799</v>
      </c>
      <c r="E112" s="29">
        <v>1.0575201738247799</v>
      </c>
      <c r="F112" s="25" t="s">
        <v>19</v>
      </c>
      <c r="G112" s="29">
        <v>1.4094661349231301</v>
      </c>
      <c r="H112" s="30">
        <v>1.3788952552265501</v>
      </c>
      <c r="AF112" s="15"/>
    </row>
    <row r="113" spans="3:32">
      <c r="C113" s="24">
        <v>45701</v>
      </c>
      <c r="D113" s="29">
        <v>1.0575201738247799</v>
      </c>
      <c r="E113" s="29">
        <v>1.0575201738247799</v>
      </c>
      <c r="F113" s="25" t="s">
        <v>19</v>
      </c>
      <c r="G113" s="29">
        <v>1.4094661349231301</v>
      </c>
      <c r="H113" s="30">
        <v>1.3788952552265501</v>
      </c>
      <c r="AF113" s="15"/>
    </row>
    <row r="114" spans="3:32">
      <c r="C114" s="24">
        <v>45700</v>
      </c>
      <c r="D114" s="29">
        <v>1.0575201738247799</v>
      </c>
      <c r="E114" s="29">
        <v>1.0575201738247799</v>
      </c>
      <c r="F114" s="25" t="s">
        <v>19</v>
      </c>
      <c r="G114" s="29">
        <v>1.4094661349231301</v>
      </c>
      <c r="H114" s="30">
        <v>1.3788952552265501</v>
      </c>
      <c r="AF114" s="15"/>
    </row>
    <row r="115" spans="3:32">
      <c r="C115" s="24">
        <v>45699</v>
      </c>
      <c r="D115" s="29">
        <v>1.0575201738247799</v>
      </c>
      <c r="E115" s="29">
        <v>1.0575201738247799</v>
      </c>
      <c r="F115" s="25" t="s">
        <v>19</v>
      </c>
      <c r="G115" s="29">
        <v>1.4094661349231301</v>
      </c>
      <c r="H115" s="30">
        <v>1.3788952552265501</v>
      </c>
      <c r="AF115" s="15"/>
    </row>
    <row r="116" spans="3:32">
      <c r="C116" s="24">
        <v>45698</v>
      </c>
      <c r="D116" s="29">
        <v>1.0575201738247799</v>
      </c>
      <c r="E116" s="29">
        <v>1.0575201738247799</v>
      </c>
      <c r="F116" s="25" t="s">
        <v>19</v>
      </c>
      <c r="G116" s="29">
        <v>1.4094661349231301</v>
      </c>
      <c r="H116" s="30">
        <v>1.3788952552265501</v>
      </c>
      <c r="AF116" s="15"/>
    </row>
    <row r="117" spans="3:32">
      <c r="C117" s="24">
        <v>45695</v>
      </c>
      <c r="D117" s="29">
        <v>1.0575201738247799</v>
      </c>
      <c r="E117" s="29">
        <v>1.0575201738247799</v>
      </c>
      <c r="F117" s="25" t="s">
        <v>19</v>
      </c>
      <c r="G117" s="29">
        <v>1.4094661349231301</v>
      </c>
      <c r="H117" s="30">
        <v>1.3788952552265501</v>
      </c>
      <c r="AF117" s="15"/>
    </row>
    <row r="118" spans="3:32">
      <c r="C118" s="24">
        <v>45694</v>
      </c>
      <c r="D118" s="29">
        <v>1.0575201738247799</v>
      </c>
      <c r="E118" s="29">
        <v>1.0575201738247799</v>
      </c>
      <c r="F118" s="25" t="s">
        <v>19</v>
      </c>
      <c r="G118" s="29">
        <v>1.4094661349231301</v>
      </c>
      <c r="H118" s="30">
        <v>1.3788952552265501</v>
      </c>
      <c r="AF118" s="15"/>
    </row>
    <row r="119" spans="3:32">
      <c r="C119" s="24">
        <v>45693</v>
      </c>
      <c r="D119" s="29">
        <v>1.0575201738247799</v>
      </c>
      <c r="E119" s="29">
        <v>1.0575201738247799</v>
      </c>
      <c r="F119" s="25" t="s">
        <v>19</v>
      </c>
      <c r="G119" s="29">
        <v>1.4094661349231301</v>
      </c>
      <c r="H119" s="30">
        <v>1.3788952552265501</v>
      </c>
      <c r="AF119" s="15"/>
    </row>
    <row r="120" spans="3:32">
      <c r="C120" s="24">
        <v>45692</v>
      </c>
      <c r="D120" s="29">
        <v>1.0575201738247799</v>
      </c>
      <c r="E120" s="29">
        <v>1.0575201738247799</v>
      </c>
      <c r="F120" s="25" t="s">
        <v>19</v>
      </c>
      <c r="G120" s="29">
        <v>1.4094661349231301</v>
      </c>
      <c r="H120" s="30">
        <v>1.3788952552265501</v>
      </c>
      <c r="AF120" s="15"/>
    </row>
    <row r="121" spans="3:32">
      <c r="C121" s="24">
        <v>45691</v>
      </c>
      <c r="D121" s="29">
        <v>1.0575201738247799</v>
      </c>
      <c r="E121" s="29">
        <v>1.0575201738247799</v>
      </c>
      <c r="F121" s="25" t="s">
        <v>19</v>
      </c>
      <c r="G121" s="29">
        <v>1.4094661349231301</v>
      </c>
      <c r="H121" s="30">
        <v>1.3788952552265501</v>
      </c>
      <c r="AF121" s="15"/>
    </row>
    <row r="122" spans="3:32">
      <c r="C122" s="24">
        <v>45688</v>
      </c>
      <c r="D122" s="29">
        <v>1.0575201738247799</v>
      </c>
      <c r="E122" s="29">
        <v>1.0575201738247799</v>
      </c>
      <c r="F122" s="25" t="s">
        <v>19</v>
      </c>
      <c r="G122" s="29">
        <v>1.4094661349231301</v>
      </c>
      <c r="H122" s="30">
        <v>1.3788952552265501</v>
      </c>
      <c r="AF122" s="15"/>
    </row>
    <row r="123" spans="3:32">
      <c r="C123" s="24">
        <v>45687</v>
      </c>
      <c r="D123" s="29">
        <v>1.0575201738247799</v>
      </c>
      <c r="E123" s="29">
        <v>1.0575201738247799</v>
      </c>
      <c r="F123" s="25" t="s">
        <v>19</v>
      </c>
      <c r="G123" s="29">
        <v>1.4094661349231301</v>
      </c>
      <c r="H123" s="30">
        <v>1.3788952552265501</v>
      </c>
      <c r="AF123" s="15"/>
    </row>
    <row r="124" spans="3:32">
      <c r="C124" s="24">
        <v>45686</v>
      </c>
      <c r="D124" s="29">
        <v>1.0575201738247799</v>
      </c>
      <c r="E124" s="29">
        <v>1.0575201738247799</v>
      </c>
      <c r="F124" s="25" t="s">
        <v>19</v>
      </c>
      <c r="G124" s="29">
        <v>1.4094661349231301</v>
      </c>
      <c r="H124" s="30">
        <v>1.3788952552265501</v>
      </c>
      <c r="AF124" s="15"/>
    </row>
    <row r="125" spans="3:32">
      <c r="C125" s="24">
        <v>45685</v>
      </c>
      <c r="D125" s="29">
        <v>1.0575201738247799</v>
      </c>
      <c r="E125" s="29">
        <v>1.0575201738247799</v>
      </c>
      <c r="F125" s="25" t="s">
        <v>19</v>
      </c>
      <c r="G125" s="29">
        <v>1.4094661349231301</v>
      </c>
      <c r="H125" s="30">
        <v>1.3788952552265501</v>
      </c>
      <c r="AF125" s="15"/>
    </row>
    <row r="126" spans="3:32">
      <c r="C126" s="24">
        <v>45684</v>
      </c>
      <c r="D126" s="29">
        <v>1.0575201738247799</v>
      </c>
      <c r="E126" s="29">
        <v>1.0575201738247799</v>
      </c>
      <c r="F126" s="25" t="s">
        <v>19</v>
      </c>
      <c r="G126" s="29">
        <v>1.4094661349231301</v>
      </c>
      <c r="H126" s="30">
        <v>1.3788952552265501</v>
      </c>
      <c r="AF126" s="15"/>
    </row>
    <row r="127" spans="3:32">
      <c r="C127" s="24">
        <v>45681</v>
      </c>
      <c r="D127" s="29">
        <v>1.0575201738247799</v>
      </c>
      <c r="E127" s="29">
        <v>1.0575201738247799</v>
      </c>
      <c r="F127" s="25" t="s">
        <v>19</v>
      </c>
      <c r="G127" s="29">
        <v>1.4094661349231301</v>
      </c>
      <c r="H127" s="30">
        <v>1.3788952552265501</v>
      </c>
      <c r="AF127" s="15"/>
    </row>
    <row r="128" spans="3:32">
      <c r="C128" s="24">
        <v>45680</v>
      </c>
      <c r="D128" s="29">
        <v>1.0575201738247799</v>
      </c>
      <c r="E128" s="29">
        <v>1.0575201738247799</v>
      </c>
      <c r="F128" s="25" t="s">
        <v>19</v>
      </c>
      <c r="G128" s="29">
        <v>1.4094661349231301</v>
      </c>
      <c r="H128" s="30">
        <v>1.3788952552265501</v>
      </c>
      <c r="AF128" s="15"/>
    </row>
    <row r="129" spans="3:32">
      <c r="C129" s="24">
        <v>45679</v>
      </c>
      <c r="D129" s="29">
        <v>1.0575201738247799</v>
      </c>
      <c r="E129" s="29">
        <v>1.0575201738247799</v>
      </c>
      <c r="F129" s="25" t="s">
        <v>19</v>
      </c>
      <c r="G129" s="29">
        <v>1.4094661349231301</v>
      </c>
      <c r="H129" s="30">
        <v>1.3788952552265501</v>
      </c>
      <c r="AF129" s="15"/>
    </row>
    <row r="130" spans="3:32">
      <c r="C130" s="24">
        <v>45678</v>
      </c>
      <c r="D130" s="29">
        <v>1.0575201738247799</v>
      </c>
      <c r="E130" s="29">
        <v>1.0575201738247799</v>
      </c>
      <c r="F130" s="25" t="s">
        <v>19</v>
      </c>
      <c r="G130" s="29">
        <v>1.4094661349231301</v>
      </c>
      <c r="H130" s="30">
        <v>1.3788952552265501</v>
      </c>
      <c r="AF130" s="15"/>
    </row>
    <row r="131" spans="3:32">
      <c r="C131" s="24">
        <v>45677</v>
      </c>
      <c r="D131" s="29">
        <v>1.0575201738247799</v>
      </c>
      <c r="E131" s="29">
        <v>1.0575201738247799</v>
      </c>
      <c r="F131" s="25" t="s">
        <v>19</v>
      </c>
      <c r="G131" s="29">
        <v>1.4094661349231301</v>
      </c>
      <c r="H131" s="30">
        <v>1.3788952552265501</v>
      </c>
      <c r="AF131" s="15"/>
    </row>
    <row r="132" spans="3:32">
      <c r="C132" s="24">
        <v>45674</v>
      </c>
      <c r="D132" s="29">
        <v>1.0575201738247799</v>
      </c>
      <c r="E132" s="29">
        <v>1.0575201738247799</v>
      </c>
      <c r="F132" s="25" t="s">
        <v>19</v>
      </c>
      <c r="G132" s="29">
        <v>1.4094661349231301</v>
      </c>
      <c r="H132" s="30">
        <v>1.3788952552265501</v>
      </c>
      <c r="AF132" s="15"/>
    </row>
    <row r="133" spans="3:32">
      <c r="C133" s="24">
        <v>45673</v>
      </c>
      <c r="D133" s="29">
        <v>1.0575201738247799</v>
      </c>
      <c r="E133" s="29">
        <v>1.0575201738247799</v>
      </c>
      <c r="F133" s="25" t="s">
        <v>19</v>
      </c>
      <c r="G133" s="29">
        <v>1.4094661349231301</v>
      </c>
      <c r="H133" s="30">
        <v>1.3788952552265501</v>
      </c>
      <c r="AF133" s="15"/>
    </row>
    <row r="134" spans="3:32">
      <c r="C134" s="24">
        <v>45672</v>
      </c>
      <c r="D134" s="29">
        <v>1.0575201738247799</v>
      </c>
      <c r="E134" s="29">
        <v>1.0575201738247799</v>
      </c>
      <c r="F134" s="25" t="s">
        <v>19</v>
      </c>
      <c r="G134" s="29">
        <v>1.4094661349231301</v>
      </c>
      <c r="H134" s="30">
        <v>1.3788952552265501</v>
      </c>
      <c r="AF134" s="15"/>
    </row>
    <row r="135" spans="3:32">
      <c r="C135" s="24">
        <v>45671</v>
      </c>
      <c r="D135" s="29">
        <v>1.0575201738247799</v>
      </c>
      <c r="E135" s="29">
        <v>1.0575201738247799</v>
      </c>
      <c r="F135" s="25" t="s">
        <v>19</v>
      </c>
      <c r="G135" s="29">
        <v>1.4094661349231301</v>
      </c>
      <c r="H135" s="30">
        <v>1.3788952552265501</v>
      </c>
      <c r="AF135" s="15"/>
    </row>
    <row r="136" spans="3:32">
      <c r="C136" s="24">
        <v>45670</v>
      </c>
      <c r="D136" s="29">
        <v>1.0575201738247799</v>
      </c>
      <c r="E136" s="29">
        <v>1.0575201738247799</v>
      </c>
      <c r="F136" s="25" t="s">
        <v>19</v>
      </c>
      <c r="G136" s="29">
        <v>1.4094661349231301</v>
      </c>
      <c r="H136" s="30">
        <v>1.3788952552265501</v>
      </c>
      <c r="AF136" s="15"/>
    </row>
    <row r="137" spans="3:32">
      <c r="C137" s="24">
        <v>45667</v>
      </c>
      <c r="D137" s="29">
        <v>1.0575201738247799</v>
      </c>
      <c r="E137" s="29">
        <v>1.0575201738247799</v>
      </c>
      <c r="F137" s="25" t="s">
        <v>19</v>
      </c>
      <c r="G137" s="29">
        <v>1.4094661349231301</v>
      </c>
      <c r="H137" s="30">
        <v>1.3788952552265501</v>
      </c>
      <c r="AF137" s="15"/>
    </row>
    <row r="138" spans="3:32">
      <c r="C138" s="24">
        <v>45666</v>
      </c>
      <c r="D138" s="29">
        <v>1.0575201738247799</v>
      </c>
      <c r="E138" s="29">
        <v>1.0575201738247799</v>
      </c>
      <c r="F138" s="25" t="s">
        <v>19</v>
      </c>
      <c r="G138" s="29">
        <v>1.4094661349231301</v>
      </c>
      <c r="H138" s="30">
        <v>1.3788952552265501</v>
      </c>
      <c r="AF138" s="15"/>
    </row>
    <row r="139" spans="3:32">
      <c r="C139" s="24">
        <v>45665</v>
      </c>
      <c r="D139" s="29">
        <v>1.0575201738247799</v>
      </c>
      <c r="E139" s="29">
        <v>1.0575201738247799</v>
      </c>
      <c r="F139" s="25" t="s">
        <v>19</v>
      </c>
      <c r="G139" s="29">
        <v>1.4094661349231301</v>
      </c>
      <c r="H139" s="30">
        <v>1.3788952552265501</v>
      </c>
      <c r="AF139" s="15"/>
    </row>
    <row r="140" spans="3:32">
      <c r="C140" s="24">
        <v>45664</v>
      </c>
      <c r="D140" s="29">
        <v>1.0575201738247799</v>
      </c>
      <c r="E140" s="29">
        <v>1.0575201738247799</v>
      </c>
      <c r="F140" s="25" t="s">
        <v>19</v>
      </c>
      <c r="G140" s="29">
        <v>1.4094661349231301</v>
      </c>
      <c r="H140" s="30">
        <v>1.3788952552265501</v>
      </c>
      <c r="AF140" s="15"/>
    </row>
    <row r="141" spans="3:32">
      <c r="C141" s="24">
        <v>45663</v>
      </c>
      <c r="D141" s="29">
        <v>1.0575201738247799</v>
      </c>
      <c r="E141" s="29">
        <v>1.0575201738247799</v>
      </c>
      <c r="F141" s="25" t="s">
        <v>19</v>
      </c>
      <c r="G141" s="29">
        <v>1.4094661349231301</v>
      </c>
      <c r="H141" s="30">
        <v>1.3788952552265501</v>
      </c>
      <c r="AF141" s="15"/>
    </row>
    <row r="142" spans="3:32">
      <c r="C142" s="24">
        <v>45660</v>
      </c>
      <c r="D142" s="29">
        <v>1.0575201738247799</v>
      </c>
      <c r="E142" s="29">
        <v>1.0575201738247799</v>
      </c>
      <c r="F142" s="25" t="s">
        <v>19</v>
      </c>
      <c r="G142" s="29">
        <v>1.4094661349231301</v>
      </c>
      <c r="H142" s="30">
        <v>1.3788952552265501</v>
      </c>
      <c r="AF142" s="15"/>
    </row>
    <row r="143" spans="3:32">
      <c r="C143" s="24">
        <v>45659</v>
      </c>
      <c r="D143" s="29">
        <v>1.0575201738247799</v>
      </c>
      <c r="E143" s="29">
        <v>1.0575201738247799</v>
      </c>
      <c r="F143" s="25" t="s">
        <v>19</v>
      </c>
      <c r="G143" s="29">
        <v>1.4094661349231301</v>
      </c>
      <c r="H143" s="30">
        <v>1.3788952552265501</v>
      </c>
      <c r="AF143" s="15"/>
    </row>
    <row r="144" spans="3:32">
      <c r="C144" s="24">
        <v>45658</v>
      </c>
      <c r="D144" s="29">
        <v>1.0575201738247799</v>
      </c>
      <c r="E144" s="29">
        <v>1.0575201738247799</v>
      </c>
      <c r="F144" s="25" t="s">
        <v>19</v>
      </c>
      <c r="G144" s="29">
        <v>1.4094661349231301</v>
      </c>
      <c r="H144" s="30">
        <v>1.3788952552265501</v>
      </c>
      <c r="AF144" s="15"/>
    </row>
    <row r="145" spans="3:32">
      <c r="C145" s="24">
        <v>45657</v>
      </c>
      <c r="D145" s="29">
        <v>1.0575201738247799</v>
      </c>
      <c r="E145" s="29">
        <v>1.0575201738247799</v>
      </c>
      <c r="F145" s="25" t="s">
        <v>19</v>
      </c>
      <c r="G145" s="29">
        <v>1.4094661349231301</v>
      </c>
      <c r="H145" s="30">
        <v>1.3788952552265501</v>
      </c>
      <c r="AF145" s="15"/>
    </row>
    <row r="146" spans="3:32">
      <c r="C146" s="24">
        <v>45656</v>
      </c>
      <c r="D146" s="29">
        <v>1.0575201738247799</v>
      </c>
      <c r="E146" s="29">
        <v>1.0575201738247799</v>
      </c>
      <c r="F146" s="25" t="s">
        <v>19</v>
      </c>
      <c r="G146" s="29">
        <v>1.4094661349231301</v>
      </c>
      <c r="H146" s="30">
        <v>1.3788952552265501</v>
      </c>
      <c r="AF146" s="15"/>
    </row>
    <row r="147" spans="3:32">
      <c r="C147" s="24">
        <v>45653</v>
      </c>
      <c r="D147" s="29">
        <v>1.0575201738247799</v>
      </c>
      <c r="E147" s="29">
        <v>1.0575201738247799</v>
      </c>
      <c r="F147" s="25" t="s">
        <v>19</v>
      </c>
      <c r="G147" s="29">
        <v>1.40061014113563</v>
      </c>
      <c r="H147" s="30">
        <v>1.3788952552265501</v>
      </c>
      <c r="AF147" s="15"/>
    </row>
    <row r="148" spans="3:32">
      <c r="C148" s="24">
        <v>45652</v>
      </c>
      <c r="D148" s="29">
        <v>1.0575201738247799</v>
      </c>
      <c r="E148" s="29">
        <v>1.0575201738247799</v>
      </c>
      <c r="F148" s="25" t="s">
        <v>19</v>
      </c>
      <c r="G148" s="29">
        <v>1.3549723545852199</v>
      </c>
      <c r="H148" s="30">
        <v>1.32473872839614</v>
      </c>
      <c r="AF148" s="15"/>
    </row>
    <row r="149" spans="3:32">
      <c r="C149" s="24">
        <v>45651</v>
      </c>
      <c r="D149" s="29">
        <v>1.0575201738247799</v>
      </c>
      <c r="E149" s="29">
        <v>1.0575201738247799</v>
      </c>
      <c r="F149" s="25" t="s">
        <v>19</v>
      </c>
      <c r="G149" s="29">
        <v>1.3549723545852199</v>
      </c>
      <c r="H149" s="30">
        <v>1.32473872839614</v>
      </c>
    </row>
    <row r="150" spans="3:32">
      <c r="C150" s="24">
        <v>45650</v>
      </c>
      <c r="D150" s="29">
        <v>1.0575201738247799</v>
      </c>
      <c r="E150" s="29">
        <v>1.0575201738247799</v>
      </c>
      <c r="F150" s="25" t="s">
        <v>19</v>
      </c>
      <c r="G150" s="29">
        <v>1.3549723545852199</v>
      </c>
      <c r="H150" s="30">
        <v>1.32473872839614</v>
      </c>
    </row>
    <row r="151" spans="3:32">
      <c r="C151" s="24">
        <v>45649</v>
      </c>
      <c r="D151" s="29">
        <v>1.0575201738247799</v>
      </c>
      <c r="E151" s="29">
        <v>1.0575201738247799</v>
      </c>
      <c r="F151" s="25" t="s">
        <v>19</v>
      </c>
      <c r="G151" s="29">
        <v>1.3549723545852199</v>
      </c>
      <c r="H151" s="30">
        <v>1.32473872839614</v>
      </c>
    </row>
    <row r="152" spans="3:32">
      <c r="C152" s="24">
        <v>45646</v>
      </c>
      <c r="D152" s="29">
        <v>1.0575201738247799</v>
      </c>
      <c r="E152" s="29">
        <v>1.0575201738247799</v>
      </c>
      <c r="F152" s="25" t="s">
        <v>19</v>
      </c>
      <c r="G152" s="29">
        <v>1.2867797312753699</v>
      </c>
      <c r="H152" s="30">
        <v>1.2725585073088601</v>
      </c>
    </row>
    <row r="153" spans="3:32">
      <c r="C153" s="24">
        <v>45645</v>
      </c>
      <c r="D153" s="29">
        <v>1.0575201738247799</v>
      </c>
      <c r="E153" s="29">
        <v>1.0575201738247799</v>
      </c>
      <c r="F153" s="25" t="s">
        <v>19</v>
      </c>
      <c r="G153" s="29">
        <v>1.2825891783116301</v>
      </c>
      <c r="H153" s="30">
        <v>1.2665462590305701</v>
      </c>
    </row>
    <row r="154" spans="3:32">
      <c r="C154" s="24">
        <v>45644</v>
      </c>
      <c r="D154" s="29">
        <v>1.0575201738247799</v>
      </c>
      <c r="E154" s="29">
        <v>1.0575201738247799</v>
      </c>
      <c r="F154" s="25" t="s">
        <v>19</v>
      </c>
      <c r="G154" s="29">
        <v>1.22061707905854</v>
      </c>
      <c r="H154" s="30">
        <v>1.1930469221484601</v>
      </c>
    </row>
    <row r="155" spans="3:32">
      <c r="C155" s="24">
        <v>45643</v>
      </c>
      <c r="D155" s="29">
        <v>1.0575201738247799</v>
      </c>
      <c r="E155" s="29">
        <v>1.0575201738247799</v>
      </c>
      <c r="F155" s="25" t="s">
        <v>19</v>
      </c>
      <c r="G155" s="29">
        <v>1.2382864612725299</v>
      </c>
      <c r="H155" s="30">
        <v>1.2270171941330501</v>
      </c>
    </row>
    <row r="156" spans="3:32">
      <c r="C156" s="24">
        <v>45642</v>
      </c>
      <c r="D156" s="29">
        <v>1.0575201738247799</v>
      </c>
      <c r="E156" s="29">
        <v>1.0575201738247799</v>
      </c>
      <c r="F156" s="25" t="s">
        <v>19</v>
      </c>
      <c r="G156" s="29">
        <v>1.1685544840092299</v>
      </c>
      <c r="H156" s="30">
        <v>1.1539550939663701</v>
      </c>
    </row>
    <row r="157" spans="3:32">
      <c r="C157" s="24">
        <v>45639</v>
      </c>
      <c r="D157" s="29">
        <v>1.0575201738247799</v>
      </c>
      <c r="E157" s="29">
        <v>1.0575201738247799</v>
      </c>
      <c r="F157" s="25" t="s">
        <v>19</v>
      </c>
      <c r="G157" s="29">
        <v>1.2247926613839399</v>
      </c>
      <c r="H157" s="30">
        <v>1.1812989451370299</v>
      </c>
    </row>
    <row r="158" spans="3:32">
      <c r="C158" s="24">
        <v>45638</v>
      </c>
      <c r="D158" s="29">
        <v>1.0575201738247799</v>
      </c>
      <c r="E158" s="29">
        <v>1.0575201738247799</v>
      </c>
      <c r="F158" s="25" t="s">
        <v>19</v>
      </c>
      <c r="G158" s="29">
        <v>1.2414480824052601</v>
      </c>
      <c r="H158" s="30">
        <v>1.2303118476567001</v>
      </c>
    </row>
    <row r="159" spans="3:32">
      <c r="C159" s="24">
        <v>45637</v>
      </c>
      <c r="D159" s="29">
        <v>1.0575201738247799</v>
      </c>
      <c r="E159" s="29">
        <v>1.0575201738247799</v>
      </c>
      <c r="F159" s="25" t="s">
        <v>19</v>
      </c>
      <c r="G159" s="29">
        <v>1.3084579627430699</v>
      </c>
      <c r="H159" s="30">
        <v>1.2744046065968799</v>
      </c>
    </row>
    <row r="160" spans="3:32">
      <c r="C160" s="24">
        <v>45636</v>
      </c>
      <c r="D160" s="29">
        <v>1.0575201738247799</v>
      </c>
      <c r="E160" s="29">
        <v>1.0575201738247799</v>
      </c>
      <c r="F160" s="25" t="s">
        <v>19</v>
      </c>
      <c r="G160" s="29">
        <v>1.3084579627430699</v>
      </c>
      <c r="H160" s="30">
        <v>1.2982688027476701</v>
      </c>
    </row>
    <row r="161" spans="3:8">
      <c r="C161" s="24">
        <v>45635</v>
      </c>
      <c r="D161" s="29">
        <v>1.0575201738247799</v>
      </c>
      <c r="E161" s="29">
        <v>1.0575201738247799</v>
      </c>
      <c r="F161" s="25" t="s">
        <v>19</v>
      </c>
      <c r="G161" s="29">
        <v>1.2869774701037799</v>
      </c>
      <c r="H161" s="30">
        <v>1.27743266911446</v>
      </c>
    </row>
    <row r="162" spans="3:8">
      <c r="C162" s="24">
        <v>45632</v>
      </c>
      <c r="D162" s="29">
        <v>1.0575201738247799</v>
      </c>
      <c r="E162" s="29">
        <v>1.0575201738247799</v>
      </c>
      <c r="F162" s="25" t="s">
        <v>19</v>
      </c>
      <c r="G162" s="29">
        <v>1.3256735706731599</v>
      </c>
      <c r="H162" s="30">
        <v>1.31904218855519</v>
      </c>
    </row>
    <row r="163" spans="3:8">
      <c r="C163" s="24">
        <v>45631</v>
      </c>
      <c r="D163" s="29">
        <v>1.0575201738247799</v>
      </c>
      <c r="E163" s="29">
        <v>1.0575201738247799</v>
      </c>
      <c r="F163" s="25" t="s">
        <v>19</v>
      </c>
      <c r="G163" s="29">
        <v>1.3212329769590001</v>
      </c>
      <c r="H163" s="30">
        <v>1.31231468449389</v>
      </c>
    </row>
    <row r="164" spans="3:8">
      <c r="C164" s="24">
        <v>45630</v>
      </c>
      <c r="D164" s="29">
        <v>1.0575201738247799</v>
      </c>
      <c r="E164" s="29">
        <v>1.0575201738247799</v>
      </c>
      <c r="F164" s="25" t="s">
        <v>19</v>
      </c>
      <c r="G164" s="29">
        <v>1.34910827278732</v>
      </c>
      <c r="H164" s="30">
        <v>1.3307382595772801</v>
      </c>
    </row>
    <row r="165" spans="3:8">
      <c r="C165" s="24">
        <v>45629</v>
      </c>
      <c r="D165" s="29">
        <v>1.0575201738247799</v>
      </c>
      <c r="E165" s="29">
        <v>1.0575201738247799</v>
      </c>
      <c r="F165" s="25" t="s">
        <v>19</v>
      </c>
      <c r="G165" s="29">
        <v>1.37297492112965</v>
      </c>
      <c r="H165" s="30">
        <v>1.35669887490973</v>
      </c>
    </row>
    <row r="166" spans="3:8">
      <c r="C166" s="24">
        <v>45628</v>
      </c>
      <c r="D166" s="25">
        <v>1.0575201738247799</v>
      </c>
      <c r="E166" s="25">
        <v>1.0575201738247799</v>
      </c>
      <c r="F166" s="25" t="s">
        <v>19</v>
      </c>
      <c r="G166" s="29">
        <v>1.3799078587699301</v>
      </c>
      <c r="H166" s="30">
        <v>1.3619447038724399</v>
      </c>
    </row>
    <row r="167" spans="3:8">
      <c r="C167" s="24">
        <v>45625</v>
      </c>
      <c r="D167" s="25">
        <v>1.0575201738247799</v>
      </c>
      <c r="E167" s="25">
        <v>1.0575201738247799</v>
      </c>
      <c r="F167" s="25" t="s">
        <v>19</v>
      </c>
      <c r="G167" s="29">
        <v>1.3713929487587699</v>
      </c>
      <c r="H167" s="30">
        <v>1.3509172065060999</v>
      </c>
    </row>
    <row r="168" spans="3:8">
      <c r="C168" s="24">
        <v>45624</v>
      </c>
      <c r="D168" s="25">
        <v>1.0575201738247799</v>
      </c>
      <c r="E168" s="25">
        <v>1.0575201738247799</v>
      </c>
      <c r="F168" s="25" t="s">
        <v>19</v>
      </c>
      <c r="G168" s="29">
        <v>1.3410738255033601</v>
      </c>
      <c r="H168" s="30">
        <v>1.3207563466588901</v>
      </c>
    </row>
    <row r="169" spans="3:8">
      <c r="C169" s="24">
        <v>45623</v>
      </c>
      <c r="D169" s="25">
        <v>1.0575201738247799</v>
      </c>
      <c r="E169" s="25">
        <v>1.0575201738247799</v>
      </c>
      <c r="F169" s="25" t="s">
        <v>19</v>
      </c>
      <c r="G169" s="29">
        <v>1.3477224412693201</v>
      </c>
      <c r="H169" s="30">
        <v>1.32360024975595</v>
      </c>
    </row>
    <row r="170" spans="3:8">
      <c r="C170" s="24">
        <v>45622</v>
      </c>
      <c r="D170" s="25">
        <v>1.0575201738247799</v>
      </c>
      <c r="E170" s="25">
        <v>1.0575201738247799</v>
      </c>
      <c r="F170" s="25" t="s">
        <v>19</v>
      </c>
      <c r="G170" s="29">
        <v>1.3426153179081799</v>
      </c>
      <c r="H170" s="30">
        <v>1.3300305465833799</v>
      </c>
    </row>
    <row r="171" spans="3:8">
      <c r="C171" s="24">
        <v>45621</v>
      </c>
      <c r="D171" s="25">
        <v>1.0575201738247799</v>
      </c>
      <c r="E171" s="25">
        <v>1.0575201738247799</v>
      </c>
      <c r="F171" s="25" t="s">
        <v>19</v>
      </c>
      <c r="G171" s="29">
        <v>1.3764690812210201</v>
      </c>
      <c r="H171" s="30">
        <v>1.3520389705050699</v>
      </c>
    </row>
    <row r="172" spans="3:8">
      <c r="C172" s="24">
        <v>45618</v>
      </c>
      <c r="D172" s="25">
        <v>1.0575201738247799</v>
      </c>
      <c r="E172" s="25">
        <v>1.0575201738247799</v>
      </c>
      <c r="F172" s="25" t="s">
        <v>19</v>
      </c>
      <c r="G172" s="29">
        <v>1.3518637202075099</v>
      </c>
      <c r="H172" s="30">
        <v>1.33562403323225</v>
      </c>
    </row>
    <row r="173" spans="3:8">
      <c r="C173" s="24">
        <v>45617</v>
      </c>
      <c r="D173" s="25">
        <v>1.0575201738247799</v>
      </c>
      <c r="E173" s="25">
        <v>1.0575201738247799</v>
      </c>
      <c r="F173" s="25" t="s">
        <v>19</v>
      </c>
      <c r="G173" s="29">
        <v>1.39453052244723</v>
      </c>
      <c r="H173" s="30">
        <v>1.3712162410481701</v>
      </c>
    </row>
    <row r="174" spans="3:8">
      <c r="C174" s="24">
        <v>45616</v>
      </c>
      <c r="D174" s="25">
        <v>1.0575201738247799</v>
      </c>
      <c r="E174" s="25">
        <v>1.0575201738247799</v>
      </c>
      <c r="F174" s="25" t="s">
        <v>19</v>
      </c>
      <c r="G174" s="29">
        <v>1.3361622243867901</v>
      </c>
      <c r="H174" s="30">
        <v>1.3124050296643901</v>
      </c>
    </row>
    <row r="175" spans="3:8">
      <c r="C175" s="24">
        <v>45615</v>
      </c>
      <c r="D175" s="25">
        <v>1.0575201738247799</v>
      </c>
      <c r="E175" s="25">
        <v>1.0575201738247799</v>
      </c>
      <c r="F175" s="25" t="s">
        <v>19</v>
      </c>
      <c r="G175" s="29">
        <v>1.3224197636077699</v>
      </c>
      <c r="H175" s="30">
        <v>1.2965650687363699</v>
      </c>
    </row>
    <row r="176" spans="3:8">
      <c r="C176" s="24">
        <v>45614</v>
      </c>
      <c r="D176" s="25">
        <v>1.0575201738247799</v>
      </c>
      <c r="E176" s="25">
        <v>1.0575201738247799</v>
      </c>
      <c r="F176" s="25" t="s">
        <v>19</v>
      </c>
      <c r="G176" s="29">
        <v>1.35312221729265</v>
      </c>
      <c r="H176" s="30">
        <v>1.3320731179251899</v>
      </c>
    </row>
    <row r="177" spans="3:8">
      <c r="C177" s="24">
        <v>45611</v>
      </c>
      <c r="D177" s="25">
        <v>1.0575201738247799</v>
      </c>
      <c r="E177" s="25">
        <v>1.0575201738247799</v>
      </c>
      <c r="F177" s="25" t="s">
        <v>19</v>
      </c>
      <c r="G177" s="29">
        <v>1.3166468999974801</v>
      </c>
      <c r="H177" s="30">
        <v>1.2957002447702399</v>
      </c>
    </row>
    <row r="178" spans="3:8">
      <c r="C178" s="24">
        <v>45610</v>
      </c>
      <c r="D178" s="25">
        <v>1.0575201738247799</v>
      </c>
      <c r="E178" s="25">
        <v>1.0575201738247799</v>
      </c>
      <c r="F178" s="25" t="s">
        <v>19</v>
      </c>
      <c r="G178" s="29">
        <v>1.3230286988019</v>
      </c>
      <c r="H178" s="30">
        <v>1.3085956584513301</v>
      </c>
    </row>
    <row r="179" spans="3:8">
      <c r="C179" s="24">
        <v>45609</v>
      </c>
      <c r="D179" s="25">
        <v>1.0575201738247799</v>
      </c>
      <c r="E179" s="25">
        <v>1.0575201738247799</v>
      </c>
      <c r="F179" s="25" t="s">
        <v>19</v>
      </c>
      <c r="G179" s="29">
        <v>1.26872856380681</v>
      </c>
      <c r="H179" s="30">
        <v>1.2505695104291099</v>
      </c>
    </row>
    <row r="180" spans="3:8">
      <c r="C180" s="24">
        <v>45608</v>
      </c>
      <c r="D180" s="25">
        <v>1.0575201738247799</v>
      </c>
      <c r="E180" s="25">
        <v>1.0575201738247799</v>
      </c>
      <c r="F180" s="25" t="s">
        <v>19</v>
      </c>
      <c r="G180" s="29">
        <v>1.2571732249840699</v>
      </c>
      <c r="H180" s="30">
        <v>1.23041464627151</v>
      </c>
    </row>
    <row r="181" spans="3:8">
      <c r="C181" s="24">
        <v>45607</v>
      </c>
      <c r="D181" s="25">
        <v>1.0575201738247799</v>
      </c>
      <c r="E181" s="25">
        <v>1.0575201738247799</v>
      </c>
      <c r="F181" s="25" t="s">
        <v>19</v>
      </c>
      <c r="G181" s="29">
        <v>1.27433344915451</v>
      </c>
      <c r="H181" s="30">
        <v>1.25198731758165</v>
      </c>
    </row>
    <row r="182" spans="3:8">
      <c r="C182" s="24">
        <v>45604</v>
      </c>
      <c r="D182" s="25">
        <v>1.0575201738247799</v>
      </c>
      <c r="E182" s="25">
        <v>1.0575201738247799</v>
      </c>
      <c r="F182" s="25" t="s">
        <v>19</v>
      </c>
      <c r="G182" s="29">
        <v>1.22604262659414</v>
      </c>
      <c r="H182" s="30">
        <v>1.2049455312496</v>
      </c>
    </row>
    <row r="183" spans="3:8">
      <c r="C183" s="24">
        <v>45603</v>
      </c>
      <c r="D183" s="25">
        <v>1.0575201738247799</v>
      </c>
      <c r="E183" s="25">
        <v>1.0575201738247799</v>
      </c>
      <c r="F183" s="25" t="s">
        <v>19</v>
      </c>
      <c r="G183" s="29">
        <v>1.2165019842609699</v>
      </c>
      <c r="H183" s="30">
        <v>1.1952273225462999</v>
      </c>
    </row>
    <row r="184" spans="3:8">
      <c r="C184" s="24">
        <v>45602</v>
      </c>
      <c r="D184" s="25">
        <v>1.0575201738247799</v>
      </c>
      <c r="E184" s="25">
        <v>1.0575201738247799</v>
      </c>
      <c r="F184" s="25" t="s">
        <v>19</v>
      </c>
      <c r="G184" s="29">
        <v>1.1862421418636999</v>
      </c>
      <c r="H184" s="30">
        <v>1.1735178282594101</v>
      </c>
    </row>
    <row r="185" spans="3:8">
      <c r="C185" s="24">
        <v>45601</v>
      </c>
      <c r="D185" s="25">
        <v>1.0575201738247799</v>
      </c>
      <c r="E185" s="25">
        <v>1.0575201738247799</v>
      </c>
      <c r="F185" s="25" t="s">
        <v>19</v>
      </c>
      <c r="G185" s="29">
        <v>1.1844278986972001</v>
      </c>
      <c r="H185" s="30">
        <v>1.16390592845685</v>
      </c>
    </row>
    <row r="186" spans="3:8">
      <c r="C186" s="24">
        <v>45600</v>
      </c>
      <c r="D186" s="25">
        <v>1.0575201738247799</v>
      </c>
      <c r="E186" s="25">
        <v>1.0575201738247799</v>
      </c>
      <c r="F186" s="25" t="s">
        <v>19</v>
      </c>
      <c r="G186" s="29">
        <v>1.1876595532405601</v>
      </c>
      <c r="H186" s="30">
        <v>1.1651452447588699</v>
      </c>
    </row>
    <row r="187" spans="3:8">
      <c r="C187" s="24">
        <v>45597</v>
      </c>
      <c r="D187" s="25">
        <v>1.0575201738247799</v>
      </c>
      <c r="E187" s="25">
        <v>1.0575201738247799</v>
      </c>
      <c r="F187" s="25" t="s">
        <v>19</v>
      </c>
      <c r="G187" s="29">
        <v>1.1622012874371499</v>
      </c>
      <c r="H187" s="30">
        <v>1.1114944249835199</v>
      </c>
    </row>
    <row r="188" spans="3:8">
      <c r="C188" s="24">
        <v>45596</v>
      </c>
      <c r="D188" s="25">
        <v>1.0575201738247799</v>
      </c>
      <c r="E188" s="25">
        <v>1.0575201738247799</v>
      </c>
      <c r="F188" s="25" t="s">
        <v>19</v>
      </c>
      <c r="G188" s="29">
        <v>1.14177519185874</v>
      </c>
      <c r="H188" s="30">
        <v>1.11534630792844</v>
      </c>
    </row>
    <row r="189" spans="3:8">
      <c r="C189" s="24">
        <v>45595</v>
      </c>
      <c r="D189" s="25">
        <v>1.0575201738247799</v>
      </c>
      <c r="E189" s="25">
        <v>1.0575201738247799</v>
      </c>
      <c r="F189" s="25" t="s">
        <v>19</v>
      </c>
      <c r="G189" s="29">
        <v>1.2112868760450599</v>
      </c>
      <c r="H189" s="30">
        <v>1.1913455404477</v>
      </c>
    </row>
    <row r="190" spans="3:8">
      <c r="C190" s="24">
        <v>45594</v>
      </c>
      <c r="D190" s="25">
        <v>1.0575201738247799</v>
      </c>
      <c r="E190" s="25">
        <v>1.0575201738247799</v>
      </c>
      <c r="F190" s="25" t="s">
        <v>19</v>
      </c>
      <c r="G190" s="25">
        <v>1.2434040463857099</v>
      </c>
      <c r="H190" s="30">
        <v>1.22126700288935</v>
      </c>
    </row>
    <row r="191" spans="3:8">
      <c r="C191" s="24">
        <v>45593</v>
      </c>
      <c r="D191" s="25">
        <v>1.0575201738247799</v>
      </c>
      <c r="E191" s="25">
        <v>1.0575201738247799</v>
      </c>
      <c r="F191" s="25" t="s">
        <v>19</v>
      </c>
      <c r="G191" s="25">
        <v>1.24515689733446</v>
      </c>
      <c r="H191" s="30">
        <v>1.22740150463714</v>
      </c>
    </row>
    <row r="192" spans="3:8">
      <c r="C192" s="24">
        <v>45590</v>
      </c>
      <c r="D192" s="25">
        <v>1.0575201738247799</v>
      </c>
      <c r="E192" s="25">
        <v>1.0575201738247799</v>
      </c>
      <c r="F192" s="25" t="s">
        <v>19</v>
      </c>
      <c r="G192" s="25">
        <v>1.27646119145738</v>
      </c>
      <c r="H192" s="30">
        <v>1.24932543477697</v>
      </c>
    </row>
    <row r="193" spans="3:8">
      <c r="C193" s="24">
        <v>45589</v>
      </c>
      <c r="D193" s="25">
        <v>1.0575201738247799</v>
      </c>
      <c r="E193" s="25">
        <v>1.0575201738247799</v>
      </c>
      <c r="F193" s="25" t="s">
        <v>19</v>
      </c>
      <c r="G193" s="25">
        <v>1.2410144067247</v>
      </c>
      <c r="H193" s="30">
        <v>1.2201670899868999</v>
      </c>
    </row>
    <row r="194" spans="3:8">
      <c r="C194" s="24">
        <v>45588</v>
      </c>
      <c r="D194" s="25">
        <v>1.0575201738247799</v>
      </c>
      <c r="E194" s="25">
        <v>1.0575201738247799</v>
      </c>
      <c r="F194" s="25" t="s">
        <v>19</v>
      </c>
      <c r="G194" s="25">
        <v>1.211955487797</v>
      </c>
      <c r="H194" s="30">
        <v>1.2008102430264</v>
      </c>
    </row>
    <row r="195" spans="3:8">
      <c r="C195" s="24">
        <v>45587</v>
      </c>
      <c r="D195" s="25">
        <v>1.0575201738247799</v>
      </c>
      <c r="E195" s="25">
        <v>1.0575201738247799</v>
      </c>
      <c r="F195" s="25" t="s">
        <v>19</v>
      </c>
      <c r="G195" s="25">
        <v>1.2061839920024899</v>
      </c>
      <c r="H195" s="30">
        <v>1.1952416389696701</v>
      </c>
    </row>
    <row r="196" spans="3:8">
      <c r="C196" s="24">
        <v>45586</v>
      </c>
      <c r="D196" s="25">
        <v>1.0575201738247799</v>
      </c>
      <c r="E196" s="25">
        <v>1.0575201738247799</v>
      </c>
      <c r="F196" s="25" t="s">
        <v>19</v>
      </c>
      <c r="G196" s="25">
        <v>1.1849433638889599</v>
      </c>
      <c r="H196" s="30">
        <v>1.1614125736840699</v>
      </c>
    </row>
    <row r="197" spans="3:8">
      <c r="C197" s="24">
        <v>45583</v>
      </c>
      <c r="D197" s="25">
        <v>1.0575201738247799</v>
      </c>
      <c r="E197" s="25">
        <v>1.0575201738247799</v>
      </c>
      <c r="F197" s="25" t="s">
        <v>19</v>
      </c>
      <c r="G197" s="25">
        <v>1.1689875391440501</v>
      </c>
      <c r="H197" s="30">
        <v>1.15193605167015</v>
      </c>
    </row>
    <row r="198" spans="3:8">
      <c r="C198" s="24">
        <v>45582</v>
      </c>
      <c r="D198" s="25">
        <v>1.0575201738247799</v>
      </c>
      <c r="E198" s="25">
        <v>1.0575201738247799</v>
      </c>
      <c r="F198" s="25" t="s">
        <v>19</v>
      </c>
      <c r="G198" s="25">
        <v>1.16695269567027</v>
      </c>
      <c r="H198" s="30">
        <v>1.16302233249331</v>
      </c>
    </row>
    <row r="199" spans="3:8">
      <c r="C199" s="24">
        <v>45581</v>
      </c>
      <c r="D199" s="25">
        <v>1.0575201738247799</v>
      </c>
      <c r="E199" s="25">
        <v>1.0575201738247799</v>
      </c>
      <c r="F199" s="25" t="s">
        <v>19</v>
      </c>
      <c r="G199" s="25">
        <v>1.1715141656491099</v>
      </c>
      <c r="H199" s="30">
        <v>1.16302233249331</v>
      </c>
    </row>
    <row r="200" spans="3:8">
      <c r="C200" s="24">
        <v>45580</v>
      </c>
      <c r="D200" s="25">
        <v>1.0575201738247799</v>
      </c>
      <c r="E200" s="25">
        <v>1.0575201738247799</v>
      </c>
      <c r="F200" s="25" t="s">
        <v>19</v>
      </c>
      <c r="G200" s="25">
        <v>1.1913658675276799</v>
      </c>
      <c r="H200" s="30">
        <v>1.1772015176669</v>
      </c>
    </row>
    <row r="201" spans="3:8">
      <c r="C201" s="24">
        <v>45579</v>
      </c>
      <c r="D201" s="25">
        <v>1.0575201738247799</v>
      </c>
      <c r="E201" s="25">
        <v>1.0575201738247799</v>
      </c>
      <c r="F201" s="25" t="s">
        <v>19</v>
      </c>
      <c r="G201" s="25">
        <v>1.19695248250104</v>
      </c>
      <c r="H201" s="30">
        <v>1.1896503421437501</v>
      </c>
    </row>
    <row r="202" spans="3:8">
      <c r="C202" s="24">
        <v>45576</v>
      </c>
      <c r="D202" s="25">
        <v>1.0575201738247799</v>
      </c>
      <c r="E202" s="25">
        <v>1.0575201738247799</v>
      </c>
      <c r="F202" s="25" t="s">
        <v>19</v>
      </c>
      <c r="G202" s="25">
        <v>1.174944215065</v>
      </c>
      <c r="H202" s="30">
        <v>1.1644312419154601</v>
      </c>
    </row>
    <row r="203" spans="3:8">
      <c r="C203" s="24">
        <v>45575</v>
      </c>
      <c r="D203" s="25">
        <v>1.0575201738247799</v>
      </c>
      <c r="E203" s="25">
        <v>1.0575201738247799</v>
      </c>
      <c r="F203" s="25" t="s">
        <v>19</v>
      </c>
      <c r="G203" s="25">
        <v>1.18363887648372</v>
      </c>
      <c r="H203" s="30">
        <v>1.1731303795980701</v>
      </c>
    </row>
    <row r="204" spans="3:8">
      <c r="C204" s="24">
        <v>45574</v>
      </c>
      <c r="D204" s="25">
        <v>1.0575201738247799</v>
      </c>
      <c r="E204" s="25">
        <v>1.0575201738247799</v>
      </c>
      <c r="F204" s="25" t="s">
        <v>19</v>
      </c>
      <c r="G204" s="25">
        <v>1.1521539229653299</v>
      </c>
      <c r="H204" s="30">
        <v>1.13972791363333</v>
      </c>
    </row>
    <row r="205" spans="3:8">
      <c r="C205" s="24">
        <v>45573</v>
      </c>
      <c r="D205" s="25">
        <v>1.0575201738247799</v>
      </c>
      <c r="E205" s="25">
        <v>1.0575201738247799</v>
      </c>
      <c r="F205" s="25" t="s">
        <v>19</v>
      </c>
      <c r="G205" s="25">
        <v>1.15023763972062</v>
      </c>
      <c r="H205" s="30">
        <v>1.1367517657541999</v>
      </c>
    </row>
    <row r="206" spans="3:8">
      <c r="C206" s="24">
        <v>45572</v>
      </c>
      <c r="D206" s="25">
        <v>1.0575201738247799</v>
      </c>
      <c r="E206" s="25">
        <v>1.0575201738247799</v>
      </c>
      <c r="F206" s="25" t="s">
        <v>19</v>
      </c>
      <c r="G206" s="25">
        <v>1.2027867285929199</v>
      </c>
      <c r="H206" s="30">
        <v>1.1909841826388401</v>
      </c>
    </row>
    <row r="207" spans="3:8">
      <c r="C207" s="24">
        <v>45569</v>
      </c>
      <c r="D207" s="25">
        <v>1.0575201738247799</v>
      </c>
      <c r="E207" s="25">
        <v>1.0575201738247799</v>
      </c>
      <c r="F207" s="25" t="s">
        <v>19</v>
      </c>
      <c r="G207" s="25">
        <v>1.19676117151738</v>
      </c>
      <c r="H207" s="30">
        <v>1.1864844405388</v>
      </c>
    </row>
    <row r="208" spans="3:8">
      <c r="C208" s="24">
        <v>45568</v>
      </c>
      <c r="D208" s="25">
        <v>1.0575201738247799</v>
      </c>
      <c r="E208" s="25">
        <v>1.0575201738247799</v>
      </c>
      <c r="F208" s="25" t="s">
        <v>19</v>
      </c>
      <c r="G208" s="25">
        <v>1.1717823061578001</v>
      </c>
      <c r="H208" s="30">
        <v>1.15750533623812</v>
      </c>
    </row>
    <row r="209" spans="3:8">
      <c r="C209" s="24">
        <v>45567</v>
      </c>
      <c r="D209" s="25">
        <v>1.0575201738247799</v>
      </c>
      <c r="E209" s="25">
        <v>1.0575201738247799</v>
      </c>
      <c r="F209" s="25" t="s">
        <v>19</v>
      </c>
      <c r="G209" s="25">
        <v>1.1586589638474301</v>
      </c>
      <c r="H209" s="30">
        <v>1.1458063296849099</v>
      </c>
    </row>
    <row r="210" spans="3:8">
      <c r="C210" s="24">
        <v>45566</v>
      </c>
      <c r="D210" s="25">
        <v>1.0575201738247799</v>
      </c>
      <c r="E210" s="25">
        <v>1.0575201738247799</v>
      </c>
      <c r="F210" s="25" t="s">
        <v>19</v>
      </c>
      <c r="G210" s="25">
        <v>1.1576822977694501</v>
      </c>
      <c r="H210" s="30">
        <v>1.14303720856084</v>
      </c>
    </row>
    <row r="211" spans="3:8">
      <c r="C211" s="24">
        <v>45565</v>
      </c>
      <c r="D211" s="25">
        <v>1.0575201738247799</v>
      </c>
      <c r="E211" s="25">
        <v>1.0575201738247799</v>
      </c>
      <c r="F211" s="25" t="s">
        <v>19</v>
      </c>
      <c r="G211" s="25">
        <v>1.1447527809717399</v>
      </c>
      <c r="H211" s="30">
        <v>1.12097631494505</v>
      </c>
    </row>
    <row r="212" spans="3:8">
      <c r="C212" s="24">
        <v>45562</v>
      </c>
      <c r="D212" s="25">
        <v>1.0575201738247799</v>
      </c>
      <c r="E212" s="25">
        <v>1.0575201738247799</v>
      </c>
      <c r="F212" s="25" t="s">
        <v>19</v>
      </c>
      <c r="G212" s="25">
        <v>1.15352787985771</v>
      </c>
      <c r="H212" s="30">
        <v>1.1226201850811699</v>
      </c>
    </row>
    <row r="213" spans="3:8">
      <c r="C213" s="24">
        <v>45561</v>
      </c>
      <c r="D213" s="25">
        <v>1.0575201738247799</v>
      </c>
      <c r="E213" s="25">
        <v>1.0575201738247799</v>
      </c>
      <c r="F213" s="25" t="s">
        <v>19</v>
      </c>
      <c r="G213" s="25">
        <v>1.12868040057417</v>
      </c>
      <c r="H213" s="30">
        <v>1.10419344941846</v>
      </c>
    </row>
    <row r="214" spans="3:8">
      <c r="C214" s="24">
        <v>45560</v>
      </c>
      <c r="D214" s="25">
        <v>1.0575201738247799</v>
      </c>
      <c r="E214" s="25">
        <v>1.0575201738247799</v>
      </c>
      <c r="F214" s="25" t="s">
        <v>19</v>
      </c>
      <c r="G214" s="25">
        <v>1.1341076980468401</v>
      </c>
      <c r="H214" s="30">
        <v>1.1138814210343999</v>
      </c>
    </row>
    <row r="215" spans="3:8">
      <c r="C215" s="24">
        <v>45559</v>
      </c>
      <c r="D215" s="25">
        <v>1.0575201738247799</v>
      </c>
      <c r="E215" s="25">
        <v>1.0575201738247799</v>
      </c>
      <c r="F215" s="25" t="s">
        <v>19</v>
      </c>
      <c r="G215" s="25">
        <v>1.1126641295600901</v>
      </c>
      <c r="H215" s="30">
        <v>1.0867519514485</v>
      </c>
    </row>
    <row r="216" spans="3:8">
      <c r="C216" s="24">
        <v>45558</v>
      </c>
      <c r="D216" s="25">
        <v>1.0575201738247799</v>
      </c>
      <c r="E216" s="25">
        <v>1.0575201738247799</v>
      </c>
      <c r="F216" s="25" t="s">
        <v>19</v>
      </c>
      <c r="G216" s="25">
        <v>1.1221350865485999</v>
      </c>
      <c r="H216" s="30">
        <v>1.0863439856397401</v>
      </c>
    </row>
    <row r="217" spans="3:8">
      <c r="C217" s="24">
        <v>45555</v>
      </c>
      <c r="D217" s="25">
        <v>1.0575201738247799</v>
      </c>
      <c r="E217" s="25">
        <v>1.0575201738247799</v>
      </c>
      <c r="F217" s="25" t="s">
        <v>19</v>
      </c>
      <c r="G217" s="25">
        <v>1.0964090769825099</v>
      </c>
      <c r="H217" s="30">
        <v>1.0615607640970299</v>
      </c>
    </row>
    <row r="218" spans="3:8">
      <c r="C218" s="24">
        <v>45554</v>
      </c>
      <c r="D218" s="25">
        <v>1.0575201738247799</v>
      </c>
      <c r="E218" s="25">
        <v>1.0575201738247799</v>
      </c>
      <c r="F218" s="25" t="s">
        <v>19</v>
      </c>
      <c r="G218" s="25">
        <v>1.0638118519108899</v>
      </c>
      <c r="H218" s="26">
        <v>1.0046582951420699</v>
      </c>
    </row>
    <row r="219" spans="3:8">
      <c r="C219" s="24">
        <v>45553</v>
      </c>
      <c r="D219" s="25">
        <v>1.0575201738247799</v>
      </c>
      <c r="E219" s="25">
        <v>1.0575201738247799</v>
      </c>
      <c r="F219" s="25" t="s">
        <v>19</v>
      </c>
      <c r="G219" s="25">
        <v>1.13985235371058</v>
      </c>
      <c r="H219" s="26">
        <v>1.09612157116622</v>
      </c>
    </row>
    <row r="220" spans="3:8">
      <c r="C220" s="24">
        <v>45552</v>
      </c>
      <c r="D220" s="25">
        <v>1.0575201738247799</v>
      </c>
      <c r="E220" s="25">
        <v>1.0575201738247799</v>
      </c>
      <c r="F220" s="25" t="s">
        <v>19</v>
      </c>
      <c r="G220" s="25">
        <v>1.12558223008896</v>
      </c>
      <c r="H220" s="26">
        <v>1.0975166868452899</v>
      </c>
    </row>
    <row r="221" spans="3:8">
      <c r="C221" s="24">
        <v>45551</v>
      </c>
      <c r="D221" s="25">
        <v>1.0575201738247799</v>
      </c>
      <c r="E221" s="25">
        <v>1.0575201738247799</v>
      </c>
      <c r="F221" s="25" t="s">
        <v>19</v>
      </c>
      <c r="G221" s="25">
        <v>1.0897348201305701</v>
      </c>
      <c r="H221" s="26">
        <v>1.05198172362752</v>
      </c>
    </row>
    <row r="222" spans="3:8">
      <c r="C222" s="24">
        <v>45548</v>
      </c>
      <c r="D222" s="25">
        <v>1.0575201738247799</v>
      </c>
      <c r="E222" s="25">
        <v>1.0575201738247799</v>
      </c>
      <c r="F222" s="25" t="s">
        <v>19</v>
      </c>
      <c r="G222" s="25">
        <v>1.12737778186017</v>
      </c>
      <c r="H222" s="26">
        <v>1.08567570333823</v>
      </c>
    </row>
    <row r="223" spans="3:8">
      <c r="C223" s="24">
        <v>45547</v>
      </c>
      <c r="D223" s="25">
        <v>1.0575201738247799</v>
      </c>
      <c r="E223" s="25">
        <v>1.0575201738247799</v>
      </c>
      <c r="F223" s="25" t="s">
        <v>19</v>
      </c>
      <c r="G223" s="25">
        <v>1.1109698564342101</v>
      </c>
      <c r="H223" s="26">
        <v>1.08466209023385</v>
      </c>
    </row>
    <row r="224" spans="3:8">
      <c r="C224" s="24">
        <v>45546</v>
      </c>
      <c r="D224" s="25">
        <v>1.0575201738247799</v>
      </c>
      <c r="E224" s="25">
        <v>1.0575201738247799</v>
      </c>
      <c r="F224" s="25" t="s">
        <v>19</v>
      </c>
      <c r="G224" s="25">
        <v>1.14131060793802</v>
      </c>
      <c r="H224" s="26">
        <v>1.1121707626289601</v>
      </c>
    </row>
    <row r="225" spans="3:8">
      <c r="C225" s="24">
        <v>45545</v>
      </c>
      <c r="D225" s="25">
        <v>1.0575201738247799</v>
      </c>
      <c r="E225" s="25">
        <v>1.0575201738247799</v>
      </c>
      <c r="F225" s="25" t="s">
        <v>19</v>
      </c>
      <c r="G225" s="25">
        <v>1.1322338120275199</v>
      </c>
      <c r="H225" s="26">
        <v>1.08938483350336</v>
      </c>
    </row>
    <row r="226" spans="3:8">
      <c r="C226" s="24">
        <v>45544</v>
      </c>
      <c r="D226" s="25">
        <v>1.0575201738247799</v>
      </c>
      <c r="E226" s="25">
        <v>1.0575201738247799</v>
      </c>
      <c r="F226" s="25" t="s">
        <v>19</v>
      </c>
      <c r="G226" s="25">
        <v>1.16670073072851</v>
      </c>
      <c r="H226" s="26">
        <v>1.14656068968222</v>
      </c>
    </row>
    <row r="227" spans="3:8">
      <c r="C227" s="24">
        <v>45541</v>
      </c>
      <c r="D227" s="25">
        <v>1.0575201738247799</v>
      </c>
      <c r="E227" s="25">
        <v>1.0575201738247799</v>
      </c>
      <c r="F227" s="25" t="s">
        <v>19</v>
      </c>
      <c r="G227" s="25">
        <v>1.15505385685415</v>
      </c>
      <c r="H227" s="26">
        <v>1.1274651793916199</v>
      </c>
    </row>
    <row r="228" spans="3:8">
      <c r="C228" s="24">
        <v>45540</v>
      </c>
      <c r="D228" s="25">
        <v>1.0575201738247799</v>
      </c>
      <c r="E228" s="25">
        <v>1.0575201738247799</v>
      </c>
      <c r="F228" s="25" t="s">
        <v>19</v>
      </c>
      <c r="G228" s="25">
        <v>1.1572941476396901</v>
      </c>
      <c r="H228" s="26">
        <v>1.1251569702638999</v>
      </c>
    </row>
    <row r="229" spans="3:8">
      <c r="C229" s="24">
        <v>45539</v>
      </c>
      <c r="D229" s="25">
        <v>1.0575201738247799</v>
      </c>
      <c r="E229" s="25">
        <v>1.0575201738247799</v>
      </c>
      <c r="F229" s="25" t="s">
        <v>19</v>
      </c>
      <c r="G229" s="25">
        <v>1.14532314566577</v>
      </c>
      <c r="H229" s="26">
        <v>1.1286022341376201</v>
      </c>
    </row>
    <row r="230" spans="3:8">
      <c r="C230" s="24">
        <v>45538</v>
      </c>
      <c r="D230" s="25">
        <v>1.0575201738247799</v>
      </c>
      <c r="E230" s="25">
        <v>1.0575201738247799</v>
      </c>
      <c r="F230" s="25" t="s">
        <v>19</v>
      </c>
      <c r="G230" s="25">
        <v>1.1885699929200799</v>
      </c>
      <c r="H230" s="26">
        <v>1.1499839128382601</v>
      </c>
    </row>
    <row r="231" spans="3:8">
      <c r="C231" s="24">
        <v>45537</v>
      </c>
      <c r="D231" s="25">
        <v>1.0575201738247799</v>
      </c>
      <c r="E231" s="25">
        <v>1.0575201738247799</v>
      </c>
      <c r="F231" s="25" t="s">
        <v>19</v>
      </c>
      <c r="G231" s="25">
        <v>1.21751433380232</v>
      </c>
      <c r="H231" s="26">
        <v>1.1930476522333699</v>
      </c>
    </row>
    <row r="232" spans="3:8">
      <c r="C232" s="24">
        <v>45534</v>
      </c>
      <c r="D232" s="29">
        <v>1.0575201738247799</v>
      </c>
      <c r="E232" s="29">
        <v>1.0575201738247799</v>
      </c>
      <c r="F232" s="25" t="s">
        <v>19</v>
      </c>
      <c r="G232" s="29">
        <v>1.2314366450088601</v>
      </c>
      <c r="H232" s="30">
        <v>1.20505890135854</v>
      </c>
    </row>
    <row r="233" spans="3:8">
      <c r="C233" s="24">
        <v>45533</v>
      </c>
      <c r="D233" s="29">
        <v>1.0575201738247799</v>
      </c>
      <c r="E233" s="29">
        <v>1.0575201738247799</v>
      </c>
      <c r="F233" s="25" t="s">
        <v>19</v>
      </c>
      <c r="G233" s="29">
        <v>1.23417320323405</v>
      </c>
      <c r="H233" s="30">
        <v>1.2081393049959199</v>
      </c>
    </row>
    <row r="234" spans="3:8">
      <c r="C234" s="24">
        <v>45532</v>
      </c>
      <c r="D234" s="29">
        <v>1.0575201738247799</v>
      </c>
      <c r="E234" s="29">
        <v>1.0575201738247799</v>
      </c>
      <c r="F234" s="25" t="s">
        <v>19</v>
      </c>
      <c r="G234" s="29">
        <v>1.237866659632</v>
      </c>
      <c r="H234" s="30">
        <v>1.2016890694453599</v>
      </c>
    </row>
    <row r="235" spans="3:8">
      <c r="C235" s="24">
        <v>45531</v>
      </c>
      <c r="D235" s="29">
        <v>1.0575201738247799</v>
      </c>
      <c r="E235" s="29">
        <v>1.0575201738247799</v>
      </c>
      <c r="F235" s="25" t="s">
        <v>19</v>
      </c>
      <c r="G235" s="29">
        <v>1.2463278342589801</v>
      </c>
      <c r="H235" s="30">
        <v>1.2102985777341799</v>
      </c>
    </row>
    <row r="236" spans="3:8">
      <c r="C236" s="24">
        <v>45530</v>
      </c>
      <c r="D236" s="29">
        <v>1.0575201738247799</v>
      </c>
      <c r="E236" s="29">
        <v>1.0575201738247799</v>
      </c>
      <c r="F236" s="25" t="s">
        <v>19</v>
      </c>
      <c r="G236" s="29">
        <v>1.2064044065199599</v>
      </c>
      <c r="H236" s="30">
        <v>1.1789002747470501</v>
      </c>
    </row>
    <row r="237" spans="3:8">
      <c r="C237" s="24">
        <v>45527</v>
      </c>
      <c r="D237" s="29">
        <v>1.0575201738247799</v>
      </c>
      <c r="E237" s="29">
        <v>1.0575201738247799</v>
      </c>
      <c r="F237" s="25" t="s">
        <v>19</v>
      </c>
      <c r="G237" s="29">
        <v>1.2064044065199599</v>
      </c>
      <c r="H237" s="30">
        <v>1.1789002747470501</v>
      </c>
    </row>
    <row r="238" spans="3:8">
      <c r="C238" s="24">
        <v>45526</v>
      </c>
      <c r="D238" s="29">
        <v>1.0575201738247799</v>
      </c>
      <c r="E238" s="29">
        <v>1.0575201738247799</v>
      </c>
      <c r="F238" s="25" t="s">
        <v>19</v>
      </c>
      <c r="G238" s="29">
        <v>1.20444522419705</v>
      </c>
      <c r="H238" s="30">
        <v>1.18171317566683</v>
      </c>
    </row>
    <row r="239" spans="3:8">
      <c r="C239" s="24">
        <v>45525</v>
      </c>
      <c r="D239" s="29">
        <v>1.0575201738247799</v>
      </c>
      <c r="E239" s="29">
        <v>1.0575201738247799</v>
      </c>
      <c r="F239" s="25" t="s">
        <v>19</v>
      </c>
      <c r="G239" s="29">
        <v>1.2169012790804199</v>
      </c>
      <c r="H239" s="30">
        <v>1.1766275296859301</v>
      </c>
    </row>
    <row r="240" spans="3:8">
      <c r="C240" s="24">
        <v>45524</v>
      </c>
      <c r="D240" s="29">
        <v>1.0575201738247799</v>
      </c>
      <c r="E240" s="29">
        <v>1.0575201738247799</v>
      </c>
      <c r="F240" s="25" t="s">
        <v>19</v>
      </c>
      <c r="G240" s="29">
        <v>1.2373394699812399</v>
      </c>
      <c r="H240" s="30">
        <v>1.1973044559099399</v>
      </c>
    </row>
    <row r="241" spans="3:8">
      <c r="C241" s="24">
        <v>45523</v>
      </c>
      <c r="D241" s="29">
        <v>1.0575201738247799</v>
      </c>
      <c r="E241" s="29">
        <v>1.0575201738247799</v>
      </c>
      <c r="F241" s="25" t="s">
        <v>19</v>
      </c>
      <c r="G241" s="29">
        <v>1.27302566433748</v>
      </c>
      <c r="H241" s="30">
        <v>1.2344775333142799</v>
      </c>
    </row>
    <row r="242" spans="3:8">
      <c r="C242" s="24">
        <v>45520</v>
      </c>
      <c r="D242" s="29">
        <v>1.0575201738247799</v>
      </c>
      <c r="E242" s="29">
        <v>1.0575201738247799</v>
      </c>
      <c r="F242" s="25" t="s">
        <v>19</v>
      </c>
      <c r="G242" s="29">
        <v>1.28488669617894</v>
      </c>
      <c r="H242" s="30">
        <v>1.2504962876669801</v>
      </c>
    </row>
    <row r="243" spans="3:8">
      <c r="C243" s="24">
        <v>45519</v>
      </c>
      <c r="D243" s="29">
        <v>1.0575201738247799</v>
      </c>
      <c r="E243" s="29">
        <v>1.0575201738247799</v>
      </c>
      <c r="F243" s="25" t="s">
        <v>19</v>
      </c>
      <c r="G243" s="29">
        <v>1.28017402942877</v>
      </c>
      <c r="H243" s="30">
        <v>1.2524129126775001</v>
      </c>
    </row>
    <row r="244" spans="3:8">
      <c r="C244" s="24">
        <v>45518</v>
      </c>
      <c r="D244" s="29">
        <v>1.0575201738247799</v>
      </c>
      <c r="E244" s="29">
        <v>1.0575201738247799</v>
      </c>
      <c r="F244" s="25" t="s">
        <v>19</v>
      </c>
      <c r="G244" s="29">
        <v>1.2639771844099901</v>
      </c>
      <c r="H244" s="30">
        <v>1.2318332884459999</v>
      </c>
    </row>
    <row r="245" spans="3:8">
      <c r="C245" s="24">
        <v>45517</v>
      </c>
      <c r="D245" s="29">
        <v>1.0575201738247799</v>
      </c>
      <c r="E245" s="29">
        <v>1.0575201738247799</v>
      </c>
      <c r="F245" s="25" t="s">
        <v>19</v>
      </c>
      <c r="G245" s="29">
        <v>1.2694322053510601</v>
      </c>
      <c r="H245" s="30">
        <v>1.2224118656706799</v>
      </c>
    </row>
    <row r="246" spans="3:8">
      <c r="C246" s="24">
        <v>45516</v>
      </c>
      <c r="D246" s="29">
        <v>1.0575201738247799</v>
      </c>
      <c r="E246" s="29">
        <v>1.0575201738247799</v>
      </c>
      <c r="F246" s="25" t="s">
        <v>19</v>
      </c>
      <c r="G246" s="29">
        <v>1.2720860322930601</v>
      </c>
      <c r="H246" s="30">
        <v>1.22257579934903</v>
      </c>
    </row>
    <row r="247" spans="3:8">
      <c r="C247" s="24">
        <v>45513</v>
      </c>
      <c r="D247" s="29">
        <v>1.0575201738247799</v>
      </c>
      <c r="E247" s="29">
        <v>1.0575201738247799</v>
      </c>
      <c r="F247" s="25" t="s">
        <v>19</v>
      </c>
      <c r="G247" s="29">
        <v>1.27154680943276</v>
      </c>
      <c r="H247" s="30">
        <v>1.2288155513065699</v>
      </c>
    </row>
    <row r="248" spans="3:8">
      <c r="C248" s="24">
        <v>45512</v>
      </c>
      <c r="D248" s="29">
        <v>1.0575201738247799</v>
      </c>
      <c r="E248" s="29">
        <v>1.0575201738247799</v>
      </c>
      <c r="F248" s="25" t="s">
        <v>19</v>
      </c>
      <c r="G248" s="29">
        <v>1.27154680943276</v>
      </c>
      <c r="H248" s="30">
        <v>1.2288155513065699</v>
      </c>
    </row>
    <row r="249" spans="3:8">
      <c r="C249" s="24">
        <v>45511</v>
      </c>
      <c r="D249" s="29">
        <v>1.0575201738247799</v>
      </c>
      <c r="E249" s="29">
        <v>1.0575201738247799</v>
      </c>
      <c r="F249" s="25" t="s">
        <v>19</v>
      </c>
      <c r="G249" s="29">
        <v>1.23575242144271</v>
      </c>
      <c r="H249" s="30">
        <v>1.18636415934819</v>
      </c>
    </row>
    <row r="250" spans="3:8">
      <c r="C250" s="24">
        <v>45510</v>
      </c>
      <c r="D250" s="29">
        <v>1.0575201738247799</v>
      </c>
      <c r="E250" s="29">
        <v>1.0575201738247799</v>
      </c>
      <c r="F250" s="25" t="s">
        <v>19</v>
      </c>
      <c r="G250" s="29">
        <v>1.1817161823672699</v>
      </c>
      <c r="H250" s="30">
        <v>1.14886170947112</v>
      </c>
    </row>
    <row r="251" spans="3:8">
      <c r="C251" s="24">
        <v>45509</v>
      </c>
      <c r="D251" s="29">
        <v>1.0575201738247799</v>
      </c>
      <c r="E251" s="29">
        <v>1.0575201738247799</v>
      </c>
      <c r="F251" s="25" t="s">
        <v>19</v>
      </c>
      <c r="G251" s="29">
        <v>1.1816741039724099</v>
      </c>
      <c r="H251" s="30">
        <v>1.13817188913016</v>
      </c>
    </row>
    <row r="252" spans="3:8">
      <c r="C252" s="24">
        <v>45506</v>
      </c>
      <c r="D252" s="29">
        <v>1.0575201738247799</v>
      </c>
      <c r="E252" s="29">
        <v>1.0575201738247799</v>
      </c>
      <c r="F252" s="25" t="s">
        <v>19</v>
      </c>
      <c r="G252" s="29">
        <v>1.2149237621101401</v>
      </c>
      <c r="H252" s="30">
        <v>1.17280327629676</v>
      </c>
    </row>
    <row r="253" spans="3:8">
      <c r="C253" s="24">
        <v>45505</v>
      </c>
      <c r="D253" s="29">
        <v>1.0575201738247799</v>
      </c>
      <c r="E253" s="29">
        <v>1.0575201738247799</v>
      </c>
      <c r="F253" s="25" t="s">
        <v>19</v>
      </c>
      <c r="G253" s="29">
        <v>1.20590587141237</v>
      </c>
      <c r="H253" s="30">
        <v>1.1628167237799201</v>
      </c>
    </row>
    <row r="254" spans="3:8">
      <c r="C254" s="24">
        <v>45504</v>
      </c>
      <c r="D254" s="29">
        <v>1.0575201738247799</v>
      </c>
      <c r="E254" s="29">
        <v>1.0575201738247799</v>
      </c>
      <c r="F254" s="25" t="s">
        <v>19</v>
      </c>
      <c r="G254" s="29">
        <v>1.1905887703284701</v>
      </c>
      <c r="H254" s="30">
        <v>1.14415283923636</v>
      </c>
    </row>
    <row r="255" spans="3:8">
      <c r="C255" s="24">
        <v>45503</v>
      </c>
      <c r="D255" s="29">
        <v>1.0575201738247799</v>
      </c>
      <c r="E255" s="29">
        <v>1.0575201738247799</v>
      </c>
      <c r="F255" s="25" t="s">
        <v>19</v>
      </c>
      <c r="G255" s="29">
        <v>1.1738672553196901</v>
      </c>
      <c r="H255" s="30">
        <v>1.12687459123694</v>
      </c>
    </row>
    <row r="256" spans="3:8">
      <c r="C256" s="24">
        <v>45502</v>
      </c>
      <c r="D256" s="29">
        <v>1.0575201738247799</v>
      </c>
      <c r="E256" s="29">
        <v>1.0575201738247799</v>
      </c>
      <c r="F256" s="25" t="s">
        <v>19</v>
      </c>
      <c r="G256" s="29">
        <v>1.16656223076626</v>
      </c>
      <c r="H256" s="30">
        <v>1.12520067637944</v>
      </c>
    </row>
    <row r="257" spans="3:8">
      <c r="C257" s="24">
        <v>45499</v>
      </c>
      <c r="D257" s="29">
        <v>1.0575201738247799</v>
      </c>
      <c r="E257" s="29">
        <v>1.0575201738247799</v>
      </c>
      <c r="F257" s="25" t="s">
        <v>19</v>
      </c>
      <c r="G257" s="29">
        <v>1.12678331788693</v>
      </c>
      <c r="H257" s="30">
        <v>1.1002261353104701</v>
      </c>
    </row>
    <row r="258" spans="3:8">
      <c r="C258" s="24">
        <v>45498</v>
      </c>
      <c r="D258" s="29">
        <v>1.0575201738247799</v>
      </c>
      <c r="E258" s="29">
        <v>1.0575201738247799</v>
      </c>
      <c r="F258" s="25" t="s">
        <v>19</v>
      </c>
      <c r="G258" s="29">
        <v>1.12013761357065</v>
      </c>
      <c r="H258" s="30">
        <v>1.09299928162951</v>
      </c>
    </row>
    <row r="259" spans="3:8">
      <c r="C259" s="24">
        <v>45497</v>
      </c>
      <c r="D259" s="29">
        <v>1.0575201738247799</v>
      </c>
      <c r="E259" s="29">
        <v>1.0575201738247799</v>
      </c>
      <c r="F259" s="25" t="s">
        <v>19</v>
      </c>
      <c r="G259" s="29">
        <v>1.1403332898829399</v>
      </c>
      <c r="H259" s="30">
        <v>1.08996668430494</v>
      </c>
    </row>
    <row r="260" spans="3:8">
      <c r="C260" s="24">
        <v>45496</v>
      </c>
      <c r="D260" s="29">
        <v>1.0575201738247799</v>
      </c>
      <c r="E260" s="29">
        <v>1.0575201738247799</v>
      </c>
      <c r="F260" s="25" t="s">
        <v>19</v>
      </c>
      <c r="G260" s="29">
        <v>1.0939102143530099</v>
      </c>
      <c r="H260" s="30">
        <v>1.06584293770729</v>
      </c>
    </row>
    <row r="261" spans="3:8">
      <c r="C261" s="24">
        <v>45495</v>
      </c>
      <c r="D261" s="29">
        <v>1.0575201738247799</v>
      </c>
      <c r="E261" s="29">
        <v>1.0575201738247799</v>
      </c>
      <c r="F261" s="25" t="s">
        <v>19</v>
      </c>
      <c r="G261" s="29">
        <v>1.11149017690875</v>
      </c>
      <c r="H261" s="30">
        <v>1.0720613128491601</v>
      </c>
    </row>
    <row r="262" spans="3:8">
      <c r="C262" s="24">
        <v>45492</v>
      </c>
      <c r="D262" s="29">
        <v>1.0575201738247799</v>
      </c>
      <c r="E262" s="29">
        <v>1.0575201738247799</v>
      </c>
      <c r="F262" s="25" t="s">
        <v>19</v>
      </c>
      <c r="G262" s="29">
        <v>1.11291220205413</v>
      </c>
      <c r="H262" s="30">
        <v>1.06552138363155</v>
      </c>
    </row>
    <row r="263" spans="3:8">
      <c r="C263" s="24">
        <v>45491</v>
      </c>
      <c r="D263" s="29">
        <v>1.0575201738247799</v>
      </c>
      <c r="E263" s="29">
        <v>1.0575201738247799</v>
      </c>
      <c r="F263" s="25" t="s">
        <v>19</v>
      </c>
      <c r="G263" s="29">
        <v>1.1191534940601</v>
      </c>
      <c r="H263" s="30">
        <v>1.0803162667909001</v>
      </c>
    </row>
    <row r="264" spans="3:8">
      <c r="C264" s="24">
        <v>45490</v>
      </c>
      <c r="D264" s="29">
        <v>1.0575201738247799</v>
      </c>
      <c r="E264" s="29">
        <v>1.0575201738247799</v>
      </c>
      <c r="F264" s="25" t="s">
        <v>19</v>
      </c>
      <c r="G264" s="29">
        <v>1.1001551199334001</v>
      </c>
      <c r="H264" s="30">
        <v>1.0699454550184699</v>
      </c>
    </row>
    <row r="265" spans="3:8">
      <c r="C265" s="24">
        <v>45489</v>
      </c>
      <c r="D265" s="29">
        <v>1.0575201738247799</v>
      </c>
      <c r="E265" s="29">
        <v>1.0575201738247799</v>
      </c>
      <c r="F265" s="25" t="s">
        <v>19</v>
      </c>
      <c r="G265" s="29">
        <v>1.1221892313077799</v>
      </c>
      <c r="H265" s="30">
        <v>1.0958953572493599</v>
      </c>
    </row>
    <row r="266" spans="3:8">
      <c r="C266" s="24">
        <v>45488</v>
      </c>
      <c r="D266" s="29">
        <v>1.0575201738247799</v>
      </c>
      <c r="E266" s="29">
        <v>1.0575201738247799</v>
      </c>
      <c r="F266" s="25" t="s">
        <v>19</v>
      </c>
      <c r="G266" s="29">
        <v>1.10128996045381</v>
      </c>
      <c r="H266" s="30">
        <v>1.0751056103727701</v>
      </c>
    </row>
    <row r="267" spans="3:8">
      <c r="C267" s="24">
        <v>45485</v>
      </c>
      <c r="D267" s="29">
        <v>1.0575201738247799</v>
      </c>
      <c r="E267" s="29">
        <v>1.0575201738247799</v>
      </c>
      <c r="F267" s="25" t="s">
        <v>19</v>
      </c>
      <c r="G267" s="29">
        <v>1.1218305586592201</v>
      </c>
      <c r="H267" s="30">
        <v>1.0726305989346501</v>
      </c>
    </row>
    <row r="268" spans="3:8">
      <c r="C268" s="24">
        <v>45484</v>
      </c>
      <c r="D268" s="29">
        <v>1.0575201738247799</v>
      </c>
      <c r="E268" s="29">
        <v>1.0575201738247799</v>
      </c>
      <c r="F268" s="25" t="s">
        <v>19</v>
      </c>
      <c r="G268" s="29">
        <v>1.10651159491383</v>
      </c>
      <c r="H268" s="30">
        <v>1.06136240495708</v>
      </c>
    </row>
    <row r="269" spans="3:8">
      <c r="C269" s="24">
        <v>45483</v>
      </c>
      <c r="D269" s="29">
        <v>1.0575201738247799</v>
      </c>
      <c r="E269" s="29">
        <v>1.0575201738247799</v>
      </c>
      <c r="F269" s="25" t="s">
        <v>19</v>
      </c>
      <c r="G269" s="29">
        <v>1.0980548586402199</v>
      </c>
      <c r="H269" s="30">
        <v>1.0513240729085001</v>
      </c>
    </row>
    <row r="270" spans="3:8">
      <c r="C270" s="24">
        <v>45482</v>
      </c>
      <c r="D270" s="29">
        <v>1.0575201738247799</v>
      </c>
      <c r="E270" s="29">
        <v>1.0575201738247799</v>
      </c>
      <c r="F270" s="25" t="s">
        <v>19</v>
      </c>
      <c r="G270" s="29">
        <v>1.0933893057561801</v>
      </c>
      <c r="H270" s="30">
        <v>1.06903396438661</v>
      </c>
    </row>
    <row r="271" spans="3:8">
      <c r="C271" s="24">
        <v>45481</v>
      </c>
      <c r="D271" s="29">
        <v>1.0575201738247799</v>
      </c>
      <c r="E271" s="29">
        <v>1.0575201738247799</v>
      </c>
      <c r="F271" s="25" t="s">
        <v>19</v>
      </c>
      <c r="G271" s="29">
        <v>1.1270540761321901</v>
      </c>
      <c r="H271" s="30">
        <v>1.09546438073776</v>
      </c>
    </row>
    <row r="272" spans="3:8">
      <c r="C272" s="24">
        <v>45478</v>
      </c>
      <c r="D272" s="29">
        <v>1.0575201738247799</v>
      </c>
      <c r="E272" s="29">
        <v>1.0575201738247799</v>
      </c>
      <c r="F272" s="25" t="s">
        <v>19</v>
      </c>
      <c r="G272" s="29">
        <v>1.1439292868487101</v>
      </c>
      <c r="H272" s="30">
        <v>1.1078786118653601</v>
      </c>
    </row>
    <row r="273" spans="3:8">
      <c r="C273" s="24">
        <v>45477</v>
      </c>
      <c r="D273" s="29">
        <v>1.0575201738247799</v>
      </c>
      <c r="E273" s="29">
        <v>1.0575201738247799</v>
      </c>
      <c r="F273" s="25" t="s">
        <v>19</v>
      </c>
      <c r="G273" s="29">
        <v>1.1567505408991201</v>
      </c>
      <c r="H273" s="30">
        <v>1.12559545593713</v>
      </c>
    </row>
    <row r="274" spans="3:8">
      <c r="C274" s="24">
        <v>45476</v>
      </c>
      <c r="D274" s="29">
        <v>1.0575201738247799</v>
      </c>
      <c r="E274" s="29">
        <v>1.0575201738247799</v>
      </c>
      <c r="F274" s="25" t="s">
        <v>19</v>
      </c>
      <c r="G274" s="29">
        <v>1.1352154243053501</v>
      </c>
      <c r="H274" s="30">
        <v>1.1144269616398901</v>
      </c>
    </row>
    <row r="275" spans="3:8">
      <c r="C275" s="24">
        <v>45475</v>
      </c>
      <c r="D275" s="29">
        <v>1.0575201738247799</v>
      </c>
      <c r="E275" s="29">
        <v>1.0575201738247799</v>
      </c>
      <c r="F275" s="25" t="s">
        <v>19</v>
      </c>
      <c r="G275" s="29">
        <v>1.1556604916348501</v>
      </c>
      <c r="H275" s="30">
        <v>1.11469469425031</v>
      </c>
    </row>
    <row r="276" spans="3:8">
      <c r="C276" s="24">
        <v>45474</v>
      </c>
      <c r="D276" s="29">
        <v>1.0575201738247799</v>
      </c>
      <c r="E276" s="29">
        <v>1.0575201738247799</v>
      </c>
      <c r="F276" s="25" t="s">
        <v>19</v>
      </c>
      <c r="G276" s="29">
        <v>1.14256358543063</v>
      </c>
      <c r="H276" s="30">
        <v>1.10428576198305</v>
      </c>
    </row>
    <row r="277" spans="3:8">
      <c r="C277" s="24">
        <v>45471</v>
      </c>
      <c r="D277" s="29">
        <v>1.0575201738247799</v>
      </c>
      <c r="E277" s="29">
        <v>1.0575201738247799</v>
      </c>
      <c r="F277" s="25" t="s">
        <v>19</v>
      </c>
      <c r="G277" s="29">
        <v>1.1552920317063</v>
      </c>
      <c r="H277" s="30">
        <v>1.1144614859483499</v>
      </c>
    </row>
    <row r="278" spans="3:8">
      <c r="C278" s="24">
        <v>45470</v>
      </c>
      <c r="D278" s="29">
        <v>1.0575201738247799</v>
      </c>
      <c r="E278" s="29">
        <v>1.0575201738247799</v>
      </c>
      <c r="F278" s="25" t="s">
        <v>19</v>
      </c>
      <c r="G278" s="29">
        <v>1.1434773179873601</v>
      </c>
      <c r="H278" s="30">
        <v>1.0991610721992999</v>
      </c>
    </row>
    <row r="279" spans="3:8">
      <c r="C279" s="24">
        <v>45469</v>
      </c>
      <c r="D279" s="29">
        <v>1.0575201738247799</v>
      </c>
      <c r="E279" s="29">
        <v>1.0575201738247799</v>
      </c>
      <c r="F279" s="25" t="s">
        <v>19</v>
      </c>
      <c r="G279" s="29">
        <v>1.1434773179873601</v>
      </c>
      <c r="H279" s="30">
        <v>1.0991610721992999</v>
      </c>
    </row>
    <row r="280" spans="3:8">
      <c r="C280" s="24">
        <v>45468</v>
      </c>
      <c r="D280" s="29">
        <v>1.0575201738247799</v>
      </c>
      <c r="E280" s="29">
        <v>1.0575201738247799</v>
      </c>
      <c r="F280" s="25" t="s">
        <v>19</v>
      </c>
      <c r="G280" s="29">
        <v>1.1467159652994401</v>
      </c>
      <c r="H280" s="30">
        <v>1.11214637394414</v>
      </c>
    </row>
    <row r="281" spans="3:8">
      <c r="C281" s="24">
        <v>45467</v>
      </c>
      <c r="D281" s="29">
        <v>1.0575201738247799</v>
      </c>
      <c r="E281" s="29">
        <v>1.0575201738247799</v>
      </c>
      <c r="F281" s="25" t="s">
        <v>19</v>
      </c>
      <c r="G281" s="29">
        <v>1.1518748969836801</v>
      </c>
      <c r="H281" s="30">
        <v>1.1019012476068499</v>
      </c>
    </row>
    <row r="282" spans="3:8">
      <c r="C282" s="24">
        <v>45464</v>
      </c>
      <c r="D282" s="29">
        <v>1.0575201738247799</v>
      </c>
      <c r="E282" s="29">
        <v>1.0575201738247799</v>
      </c>
      <c r="F282" s="25" t="s">
        <v>19</v>
      </c>
      <c r="G282" s="29">
        <v>1.1361688630932101</v>
      </c>
      <c r="H282" s="30">
        <v>1.1051802890633899</v>
      </c>
    </row>
    <row r="283" spans="3:8">
      <c r="C283" s="24">
        <v>45463</v>
      </c>
      <c r="D283" s="29">
        <v>1.0575201738247799</v>
      </c>
      <c r="E283" s="29">
        <v>1.0575201738247799</v>
      </c>
      <c r="F283" s="25" t="s">
        <v>19</v>
      </c>
      <c r="G283" s="29">
        <v>1.1436837003290301</v>
      </c>
      <c r="H283" s="30">
        <v>1.1213304201468</v>
      </c>
    </row>
    <row r="284" spans="3:8">
      <c r="C284" s="24">
        <v>45462</v>
      </c>
      <c r="D284" s="29">
        <v>1.0575201738247799</v>
      </c>
      <c r="E284" s="29">
        <v>1.0575201738247799</v>
      </c>
      <c r="F284" s="25" t="s">
        <v>19</v>
      </c>
      <c r="G284" s="29">
        <v>1.1532001182679501</v>
      </c>
      <c r="H284" s="30">
        <v>1.1182761849049401</v>
      </c>
    </row>
    <row r="285" spans="3:8">
      <c r="C285" s="24">
        <v>45461</v>
      </c>
      <c r="D285" s="29">
        <v>1.0575201738247799</v>
      </c>
      <c r="E285" s="29">
        <v>1.0575201738247799</v>
      </c>
      <c r="F285" s="25" t="s">
        <v>19</v>
      </c>
      <c r="G285" s="29">
        <v>1.1130161962348499</v>
      </c>
      <c r="H285" s="30">
        <v>1.0933076902550301</v>
      </c>
    </row>
    <row r="286" spans="3:8">
      <c r="C286" s="24">
        <v>45460</v>
      </c>
      <c r="D286" s="29">
        <v>1.0575201738247799</v>
      </c>
      <c r="E286" s="29">
        <v>1.0575201738247799</v>
      </c>
      <c r="F286" s="25" t="s">
        <v>19</v>
      </c>
      <c r="G286" s="29">
        <v>1.1130161962348499</v>
      </c>
      <c r="H286" s="30">
        <v>1.0886375320749</v>
      </c>
    </row>
    <row r="287" spans="3:8">
      <c r="C287" s="24">
        <v>45457</v>
      </c>
      <c r="D287" s="29">
        <v>1.0575201738247799</v>
      </c>
      <c r="E287" s="29">
        <v>1.0575201738247799</v>
      </c>
      <c r="F287" s="25" t="s">
        <v>19</v>
      </c>
      <c r="G287" s="29">
        <v>1.11396864688571</v>
      </c>
      <c r="H287" s="30">
        <v>1.0920737736519099</v>
      </c>
    </row>
    <row r="288" spans="3:8">
      <c r="C288" s="24">
        <v>45456</v>
      </c>
      <c r="D288" s="29">
        <v>1.0575201738247799</v>
      </c>
      <c r="E288" s="29">
        <v>1.0575201738247799</v>
      </c>
      <c r="F288" s="25" t="s">
        <v>19</v>
      </c>
      <c r="G288" s="29">
        <v>1.11396864688571</v>
      </c>
      <c r="H288" s="30">
        <v>1.10284613529652</v>
      </c>
    </row>
    <row r="289" spans="3:8">
      <c r="C289" s="24">
        <v>45455</v>
      </c>
      <c r="D289" s="29">
        <v>1.0575201738247799</v>
      </c>
      <c r="E289" s="29">
        <v>1.0575201738247799</v>
      </c>
      <c r="F289" s="25" t="s">
        <v>19</v>
      </c>
      <c r="G289" s="29">
        <v>1.11396864688571</v>
      </c>
      <c r="H289" s="30">
        <v>1.09111005259184</v>
      </c>
    </row>
    <row r="290" spans="3:8">
      <c r="C290" s="24">
        <v>45454</v>
      </c>
      <c r="D290" s="29">
        <v>1.0575201738247799</v>
      </c>
      <c r="E290" s="29">
        <v>1.0575201738247799</v>
      </c>
      <c r="F290" s="25" t="s">
        <v>19</v>
      </c>
      <c r="G290" s="29">
        <v>1.11396864688571</v>
      </c>
      <c r="H290" s="30">
        <v>1.0927435923875</v>
      </c>
    </row>
    <row r="291" spans="3:8">
      <c r="C291" s="24">
        <v>45453</v>
      </c>
      <c r="D291" s="29">
        <v>1.0575201738247799</v>
      </c>
      <c r="E291" s="29">
        <v>1.0575201738247799</v>
      </c>
      <c r="F291" s="25" t="s">
        <v>19</v>
      </c>
      <c r="G291" s="29">
        <v>1.1445480835083699</v>
      </c>
      <c r="H291" s="30">
        <v>1.0927435923875</v>
      </c>
    </row>
    <row r="292" spans="3:8">
      <c r="C292" s="24">
        <v>45450</v>
      </c>
      <c r="D292" s="29">
        <v>1.0575201738247799</v>
      </c>
      <c r="E292" s="29">
        <v>1.0575201738247799</v>
      </c>
      <c r="F292" s="25" t="s">
        <v>19</v>
      </c>
      <c r="G292" s="29">
        <v>1.1705778952894299</v>
      </c>
      <c r="H292" s="30">
        <v>1.05059538607125</v>
      </c>
    </row>
    <row r="293" spans="3:8">
      <c r="C293" s="24">
        <v>45449</v>
      </c>
      <c r="D293" s="29">
        <v>1.0575201738247799</v>
      </c>
      <c r="E293" s="29">
        <v>1.0575201738247799</v>
      </c>
      <c r="F293" s="25" t="s">
        <v>19</v>
      </c>
      <c r="G293" s="29">
        <v>1.1705778952894299</v>
      </c>
      <c r="H293" s="30">
        <v>1.05059538607125</v>
      </c>
    </row>
    <row r="294" spans="3:8">
      <c r="C294" s="24">
        <v>45448</v>
      </c>
      <c r="D294" s="29">
        <v>1.0575201738247799</v>
      </c>
      <c r="E294" s="29">
        <v>1.0575201738247799</v>
      </c>
      <c r="F294" s="25" t="s">
        <v>19</v>
      </c>
      <c r="G294" s="29">
        <v>1.1705778952894299</v>
      </c>
      <c r="H294" s="30">
        <v>1.05780187938683</v>
      </c>
    </row>
    <row r="295" spans="3:8">
      <c r="C295" s="24">
        <v>45447</v>
      </c>
      <c r="D295" s="29">
        <v>1.0575201738247799</v>
      </c>
      <c r="E295" s="29">
        <v>1.0575201738247799</v>
      </c>
      <c r="F295" s="25" t="s">
        <v>19</v>
      </c>
      <c r="G295" s="29">
        <v>1.1705778952894299</v>
      </c>
      <c r="H295" s="30">
        <v>1.0795506490025699</v>
      </c>
    </row>
    <row r="296" spans="3:8">
      <c r="C296" s="24">
        <v>45446</v>
      </c>
      <c r="D296" s="29">
        <v>1.0575201738247799</v>
      </c>
      <c r="E296" s="29">
        <v>1.0575201738247799</v>
      </c>
      <c r="F296" s="25" t="s">
        <v>19</v>
      </c>
      <c r="G296" s="29">
        <v>1.1705778952894299</v>
      </c>
      <c r="H296" s="30">
        <v>1.12207296193391</v>
      </c>
    </row>
    <row r="297" spans="3:8">
      <c r="C297" s="24">
        <v>45443</v>
      </c>
      <c r="D297" s="29">
        <v>1.0575201738247799</v>
      </c>
      <c r="E297" s="29">
        <v>1.0575201738247799</v>
      </c>
      <c r="F297" s="25" t="s">
        <v>19</v>
      </c>
      <c r="G297" s="29">
        <v>1.1521583841832399</v>
      </c>
      <c r="H297" s="30">
        <v>1.1104433177492701</v>
      </c>
    </row>
    <row r="298" spans="3:8">
      <c r="C298" s="24">
        <v>45442</v>
      </c>
      <c r="D298" s="29">
        <v>1.0575201738247799</v>
      </c>
      <c r="E298" s="29">
        <v>1.0575201738247799</v>
      </c>
      <c r="F298" s="25" t="s">
        <v>19</v>
      </c>
      <c r="G298" s="29">
        <v>1.1606922055478599</v>
      </c>
      <c r="H298" s="30">
        <v>1.13137930494558</v>
      </c>
    </row>
    <row r="299" spans="3:8">
      <c r="C299" s="24">
        <v>45441</v>
      </c>
      <c r="D299" s="29">
        <v>1.0575201738247799</v>
      </c>
      <c r="E299" s="29">
        <v>1.0575201738247799</v>
      </c>
      <c r="F299" s="25" t="s">
        <v>19</v>
      </c>
      <c r="G299" s="29">
        <v>1.1606922055478599</v>
      </c>
      <c r="H299" s="30">
        <v>1.1305014469719099</v>
      </c>
    </row>
    <row r="300" spans="3:8">
      <c r="C300" s="24">
        <v>45440</v>
      </c>
      <c r="D300" s="29">
        <v>1.0575201738247799</v>
      </c>
      <c r="E300" s="29">
        <v>1.0575201738247799</v>
      </c>
      <c r="F300" s="25" t="s">
        <v>19</v>
      </c>
      <c r="G300" s="29">
        <v>1.162276829781</v>
      </c>
      <c r="H300" s="30">
        <v>1.1305014469719099</v>
      </c>
    </row>
    <row r="301" spans="3:8">
      <c r="C301" s="24">
        <v>45439</v>
      </c>
      <c r="D301" s="29">
        <v>1.0575201738247799</v>
      </c>
      <c r="E301" s="29">
        <v>1.0575201738247799</v>
      </c>
      <c r="F301" s="25" t="s">
        <v>19</v>
      </c>
      <c r="G301" s="29">
        <v>1.162276829781</v>
      </c>
      <c r="H301" s="30">
        <v>1.1305014469719099</v>
      </c>
    </row>
    <row r="302" spans="3:8">
      <c r="C302" s="24">
        <v>45436</v>
      </c>
      <c r="D302" s="29">
        <v>1.0575201738247799</v>
      </c>
      <c r="E302" s="29">
        <v>1.0575201738247799</v>
      </c>
      <c r="F302" s="25" t="s">
        <v>19</v>
      </c>
      <c r="G302" s="29">
        <v>1.162276829781</v>
      </c>
      <c r="H302" s="30">
        <v>1.1305014469719099</v>
      </c>
    </row>
    <row r="303" spans="3:8">
      <c r="C303" s="24">
        <v>45435</v>
      </c>
      <c r="D303" s="29">
        <v>1.0575201738247799</v>
      </c>
      <c r="E303" s="29">
        <v>1.0575201738247799</v>
      </c>
      <c r="F303" s="25" t="s">
        <v>19</v>
      </c>
      <c r="G303" s="29">
        <v>1.1846705735756</v>
      </c>
      <c r="H303" s="30">
        <v>1.1305014469719099</v>
      </c>
    </row>
    <row r="304" spans="3:8">
      <c r="C304" s="24">
        <v>45434</v>
      </c>
      <c r="D304" s="29">
        <v>1.0575201738247799</v>
      </c>
      <c r="E304" s="29">
        <v>1.0575201738247799</v>
      </c>
      <c r="F304" s="25" t="s">
        <v>19</v>
      </c>
      <c r="G304" s="29">
        <v>1.1846705735756</v>
      </c>
      <c r="H304" s="30">
        <v>1.1305014469719099</v>
      </c>
    </row>
    <row r="305" spans="3:8">
      <c r="C305" s="24">
        <v>45433</v>
      </c>
      <c r="D305" s="29">
        <v>1.0575201738247799</v>
      </c>
      <c r="E305" s="29">
        <v>1.0575201738247799</v>
      </c>
      <c r="F305" s="25" t="s">
        <v>19</v>
      </c>
      <c r="G305" s="29">
        <v>1.1579572436052199</v>
      </c>
      <c r="H305" s="30">
        <v>1.08408493335197</v>
      </c>
    </row>
    <row r="306" spans="3:8">
      <c r="C306" s="24">
        <v>45432</v>
      </c>
      <c r="D306" s="29">
        <v>1.0575201738247799</v>
      </c>
      <c r="E306" s="29">
        <v>1.0575201738247799</v>
      </c>
      <c r="F306" s="25" t="s">
        <v>19</v>
      </c>
      <c r="G306" s="29">
        <v>1.1155642965127399</v>
      </c>
      <c r="H306" s="30">
        <v>1.0672294187893001</v>
      </c>
    </row>
    <row r="307" spans="3:8">
      <c r="C307" s="24">
        <v>45429</v>
      </c>
      <c r="D307" s="29">
        <v>1.0575201738247799</v>
      </c>
      <c r="E307" s="29">
        <v>1.0575201738247799</v>
      </c>
      <c r="F307" s="25" t="s">
        <v>19</v>
      </c>
      <c r="G307" s="29">
        <v>1.09197497269703</v>
      </c>
      <c r="H307" s="30">
        <v>1.0214241285985799</v>
      </c>
    </row>
    <row r="308" spans="3:8">
      <c r="C308" s="24">
        <v>45428</v>
      </c>
      <c r="D308" s="29">
        <v>1.0575201738247799</v>
      </c>
      <c r="E308" s="29">
        <v>1.0575201738247799</v>
      </c>
      <c r="F308" s="25" t="s">
        <v>19</v>
      </c>
      <c r="G308" s="29">
        <v>1.0979501349976799</v>
      </c>
      <c r="H308" s="30">
        <v>1.0214241285985799</v>
      </c>
    </row>
    <row r="309" spans="3:8">
      <c r="C309" s="24">
        <v>45427</v>
      </c>
      <c r="D309" s="29">
        <v>1.0575201738247799</v>
      </c>
      <c r="E309" s="29">
        <v>1.0575201738247799</v>
      </c>
      <c r="F309" s="25" t="s">
        <v>19</v>
      </c>
      <c r="G309" s="29">
        <v>1.0979501349976799</v>
      </c>
      <c r="H309" s="30">
        <v>1.0214241285985799</v>
      </c>
    </row>
    <row r="310" spans="3:8">
      <c r="C310" s="24">
        <v>45426</v>
      </c>
      <c r="D310" s="29">
        <v>1.0575201738247799</v>
      </c>
      <c r="E310" s="29">
        <v>1.0575201738247799</v>
      </c>
      <c r="F310" s="25" t="s">
        <v>19</v>
      </c>
      <c r="G310" s="29">
        <v>1.0979501349976799</v>
      </c>
      <c r="H310" s="30">
        <v>1.0214241285985799</v>
      </c>
    </row>
    <row r="311" spans="3:8">
      <c r="C311" s="24">
        <v>45425</v>
      </c>
      <c r="D311" s="29">
        <v>1.0575201738247799</v>
      </c>
      <c r="E311" s="29">
        <v>1.0575201738247799</v>
      </c>
      <c r="F311" s="25" t="s">
        <v>19</v>
      </c>
      <c r="G311" s="29">
        <v>1.0979501349976799</v>
      </c>
      <c r="H311" s="30">
        <v>1.0373021260564399</v>
      </c>
    </row>
    <row r="312" spans="3:8">
      <c r="C312" s="24">
        <v>45422</v>
      </c>
      <c r="D312" s="29">
        <v>1.0575201738247799</v>
      </c>
      <c r="E312" s="29">
        <v>1.0575201738247799</v>
      </c>
      <c r="F312" s="25" t="s">
        <v>19</v>
      </c>
      <c r="G312" s="29">
        <v>1.0534376916332699</v>
      </c>
      <c r="H312" s="30">
        <v>1.01642614608247</v>
      </c>
    </row>
    <row r="313" spans="3:8">
      <c r="C313" s="24">
        <v>45421</v>
      </c>
      <c r="D313" s="29">
        <v>1.0575201738247799</v>
      </c>
      <c r="E313" s="29">
        <v>1.0575201738247799</v>
      </c>
      <c r="F313" s="25" t="s">
        <v>19</v>
      </c>
      <c r="G313" s="29">
        <v>1.0534376916332699</v>
      </c>
      <c r="H313" s="30">
        <v>1.01642614608247</v>
      </c>
    </row>
    <row r="314" spans="3:8">
      <c r="C314" s="24">
        <v>45420</v>
      </c>
      <c r="D314" s="29">
        <v>1.0575201738247799</v>
      </c>
      <c r="E314" s="29">
        <v>1.0575201738247799</v>
      </c>
      <c r="F314" s="25" t="s">
        <v>19</v>
      </c>
      <c r="G314" s="29">
        <v>1.0534376916332699</v>
      </c>
      <c r="H314" s="30">
        <v>0.97870174348697403</v>
      </c>
    </row>
    <row r="315" spans="3:8">
      <c r="C315" s="24">
        <v>45419</v>
      </c>
      <c r="D315" s="29">
        <v>1.0575201738247799</v>
      </c>
      <c r="E315" s="29">
        <v>1.0575201738247799</v>
      </c>
      <c r="F315" s="25" t="s">
        <v>19</v>
      </c>
      <c r="G315" s="29">
        <v>1.0534376916332699</v>
      </c>
      <c r="H315" s="30">
        <v>0.97870174348697403</v>
      </c>
    </row>
    <row r="316" spans="3:8">
      <c r="C316" s="24">
        <v>45418</v>
      </c>
      <c r="D316" s="29">
        <v>1.0575201738247799</v>
      </c>
      <c r="E316" s="29">
        <v>1.0575201738247799</v>
      </c>
      <c r="F316" s="25" t="s">
        <v>19</v>
      </c>
      <c r="G316" s="29">
        <v>1.0534376916332699</v>
      </c>
      <c r="H316" s="30">
        <v>0.97870174348697403</v>
      </c>
    </row>
    <row r="317" spans="3:8">
      <c r="C317" s="24">
        <v>45415</v>
      </c>
      <c r="D317" s="29">
        <v>1.0575201738247799</v>
      </c>
      <c r="E317" s="29">
        <v>1.0575201738247799</v>
      </c>
      <c r="F317" s="25" t="s">
        <v>19</v>
      </c>
      <c r="G317" s="29">
        <v>1.0534376916332699</v>
      </c>
      <c r="H317" s="30">
        <v>0.97870174348697403</v>
      </c>
    </row>
    <row r="318" spans="3:8">
      <c r="C318" s="24">
        <v>45414</v>
      </c>
      <c r="D318" s="29">
        <v>1.0575201738247799</v>
      </c>
      <c r="E318" s="29">
        <v>1.0575201738247799</v>
      </c>
      <c r="F318" s="25" t="s">
        <v>19</v>
      </c>
      <c r="G318" s="29">
        <v>1.0534376916332699</v>
      </c>
      <c r="H318" s="30">
        <v>0.97870174348697403</v>
      </c>
    </row>
    <row r="319" spans="3:8">
      <c r="C319" s="24">
        <v>45413</v>
      </c>
      <c r="D319" s="29">
        <v>1.0575201738247799</v>
      </c>
      <c r="E319" s="29">
        <v>1.0575201738247799</v>
      </c>
      <c r="F319" s="25" t="s">
        <v>19</v>
      </c>
      <c r="G319" s="29">
        <v>1.0534376916332699</v>
      </c>
      <c r="H319" s="30">
        <v>0.97870174348697403</v>
      </c>
    </row>
    <row r="320" spans="3:8">
      <c r="C320" s="24">
        <v>45412</v>
      </c>
      <c r="D320" s="29">
        <v>1.0575201738247799</v>
      </c>
      <c r="E320" s="29">
        <v>1.0575201738247799</v>
      </c>
      <c r="F320" s="25" t="s">
        <v>19</v>
      </c>
      <c r="G320" s="29">
        <v>1.0499852529037099</v>
      </c>
      <c r="H320" s="30">
        <v>0.97908292244286199</v>
      </c>
    </row>
    <row r="321" spans="3:8">
      <c r="C321" s="24">
        <v>45411</v>
      </c>
      <c r="D321" s="29">
        <v>1.0575201738247799</v>
      </c>
      <c r="E321" s="29">
        <v>1.0575201738247799</v>
      </c>
      <c r="F321" s="25" t="s">
        <v>19</v>
      </c>
      <c r="G321" s="29">
        <v>1.0499852529037099</v>
      </c>
      <c r="H321" s="30">
        <v>0.97908292244286199</v>
      </c>
    </row>
    <row r="322" spans="3:8">
      <c r="C322" s="24">
        <v>45408</v>
      </c>
      <c r="D322" s="29">
        <v>1.0575201738247799</v>
      </c>
      <c r="E322" s="29">
        <v>1.0575201738247799</v>
      </c>
      <c r="F322" s="25" t="s">
        <v>19</v>
      </c>
      <c r="G322" s="29">
        <v>1.0499852529037099</v>
      </c>
      <c r="H322" s="30">
        <v>0.97908292244286199</v>
      </c>
    </row>
    <row r="323" spans="3:8">
      <c r="C323" s="24">
        <v>45407</v>
      </c>
      <c r="D323" s="29">
        <v>1.0575201738247799</v>
      </c>
      <c r="E323" s="29">
        <v>1.0575201738247799</v>
      </c>
      <c r="F323" s="25" t="s">
        <v>19</v>
      </c>
      <c r="G323" s="29">
        <v>1.1105898963246901</v>
      </c>
      <c r="H323" s="30">
        <v>1.0333781223941201</v>
      </c>
    </row>
    <row r="324" spans="3:8">
      <c r="C324" s="24">
        <v>45406</v>
      </c>
      <c r="D324" s="29">
        <v>1.0575201738247799</v>
      </c>
      <c r="E324" s="29">
        <v>1.0575201738247799</v>
      </c>
      <c r="F324" s="25" t="s">
        <v>19</v>
      </c>
      <c r="G324" s="29">
        <v>1.1105898963246901</v>
      </c>
      <c r="H324" s="30">
        <v>1.0333781223941201</v>
      </c>
    </row>
    <row r="325" spans="3:8">
      <c r="C325" s="24">
        <v>45405</v>
      </c>
      <c r="D325" s="29">
        <v>1.0575201738247799</v>
      </c>
      <c r="E325" s="29">
        <v>1.0575201738247799</v>
      </c>
      <c r="F325" s="25" t="s">
        <v>19</v>
      </c>
      <c r="G325" s="29">
        <v>1.1105898963246901</v>
      </c>
      <c r="H325" s="30">
        <v>1.0333781223941201</v>
      </c>
    </row>
    <row r="326" spans="3:8">
      <c r="C326" s="24">
        <v>45404</v>
      </c>
      <c r="D326" s="29">
        <v>1.0575201738247799</v>
      </c>
      <c r="E326" s="29">
        <v>1.0575201738247799</v>
      </c>
      <c r="F326" s="25" t="s">
        <v>19</v>
      </c>
      <c r="G326" s="29">
        <v>1.1105898963246901</v>
      </c>
      <c r="H326" s="30">
        <v>1.0333781223941201</v>
      </c>
    </row>
    <row r="327" spans="3:8">
      <c r="C327" s="24">
        <v>45401</v>
      </c>
      <c r="D327" s="29">
        <v>1.0575201738247799</v>
      </c>
      <c r="E327" s="29">
        <v>1.0575201738247799</v>
      </c>
      <c r="F327" s="25" t="s">
        <v>19</v>
      </c>
      <c r="G327" s="29">
        <v>1.1105898963246901</v>
      </c>
      <c r="H327" s="30">
        <v>1.0333781223941201</v>
      </c>
    </row>
    <row r="328" spans="3:8">
      <c r="C328" s="24">
        <v>45400</v>
      </c>
      <c r="D328" s="29">
        <v>1.0575201738247799</v>
      </c>
      <c r="E328" s="29">
        <v>1.0575201738247799</v>
      </c>
      <c r="F328" s="25" t="s">
        <v>19</v>
      </c>
      <c r="G328" s="29">
        <v>1.1105898963246901</v>
      </c>
      <c r="H328" s="30">
        <v>1.0333781223941201</v>
      </c>
    </row>
    <row r="329" spans="3:8">
      <c r="C329" s="24">
        <v>45399</v>
      </c>
      <c r="D329" s="29">
        <v>1.0575201738247799</v>
      </c>
      <c r="E329" s="29">
        <v>1.0575201738247799</v>
      </c>
      <c r="F329" s="25" t="s">
        <v>19</v>
      </c>
      <c r="G329" s="29">
        <v>1.1105898963246901</v>
      </c>
      <c r="H329" s="30">
        <v>1.0333781223941201</v>
      </c>
    </row>
    <row r="330" spans="3:8">
      <c r="C330" s="24">
        <v>45398</v>
      </c>
      <c r="D330" s="29">
        <v>1.0575201738247799</v>
      </c>
      <c r="E330" s="29">
        <v>1.0575201738247799</v>
      </c>
      <c r="F330" s="25" t="s">
        <v>19</v>
      </c>
      <c r="G330" s="29">
        <v>1.1387309557827801</v>
      </c>
      <c r="H330" s="30">
        <v>1.0703907155015</v>
      </c>
    </row>
    <row r="331" spans="3:8">
      <c r="C331" s="24">
        <v>45397</v>
      </c>
      <c r="D331" s="29">
        <v>1.0575201738247799</v>
      </c>
      <c r="E331" s="29">
        <v>1.0575201738247799</v>
      </c>
      <c r="F331" s="25" t="s">
        <v>19</v>
      </c>
      <c r="G331" s="29">
        <v>1.07443313838933</v>
      </c>
      <c r="H331" s="30">
        <v>1.04008266799403</v>
      </c>
    </row>
    <row r="332" spans="3:8">
      <c r="C332" s="24">
        <v>45394</v>
      </c>
      <c r="D332" s="29">
        <v>1.0575201738247799</v>
      </c>
      <c r="E332" s="29">
        <v>1.0575201738247799</v>
      </c>
      <c r="F332" s="25" t="s">
        <v>19</v>
      </c>
      <c r="G332" s="29">
        <v>1.07443313838933</v>
      </c>
      <c r="H332" s="30">
        <v>1.0251643930171599</v>
      </c>
    </row>
    <row r="333" spans="3:8">
      <c r="C333" s="24">
        <v>45393</v>
      </c>
      <c r="D333" s="29">
        <v>1.0575201738247799</v>
      </c>
      <c r="E333" s="29">
        <v>1.0575201738247799</v>
      </c>
      <c r="F333" s="25" t="s">
        <v>19</v>
      </c>
      <c r="G333" s="29">
        <v>1.07443313838933</v>
      </c>
      <c r="H333" s="30">
        <v>1.0251643930171599</v>
      </c>
    </row>
    <row r="334" spans="3:8">
      <c r="C334" s="24">
        <v>45392</v>
      </c>
      <c r="D334" s="29">
        <v>1.0575201738247799</v>
      </c>
      <c r="E334" s="29">
        <v>1.0575201738247799</v>
      </c>
      <c r="F334" s="25" t="s">
        <v>19</v>
      </c>
      <c r="G334" s="29">
        <v>1.0229531113336501</v>
      </c>
      <c r="H334" s="30">
        <v>0.94887153454800599</v>
      </c>
    </row>
    <row r="335" spans="3:8">
      <c r="C335" s="24">
        <v>45391</v>
      </c>
      <c r="D335" s="29">
        <v>1.0575201738247799</v>
      </c>
      <c r="E335" s="29">
        <v>1.0575201738247799</v>
      </c>
      <c r="F335" s="25" t="s">
        <v>19</v>
      </c>
      <c r="G335" s="29">
        <v>1.0229531113336501</v>
      </c>
      <c r="H335" s="30">
        <v>0.94097673186375796</v>
      </c>
    </row>
    <row r="336" spans="3:8">
      <c r="C336" s="24">
        <v>45390</v>
      </c>
      <c r="D336" s="29">
        <v>1.0575201738247799</v>
      </c>
      <c r="E336" s="29">
        <v>1.0575201738247799</v>
      </c>
      <c r="F336" s="25" t="s">
        <v>19</v>
      </c>
      <c r="G336" s="29">
        <v>0.94237055221709098</v>
      </c>
      <c r="H336" s="30">
        <v>0.87721843127332499</v>
      </c>
    </row>
    <row r="337" spans="3:8">
      <c r="C337" s="24">
        <v>45387</v>
      </c>
      <c r="D337" s="29">
        <v>1.0575201738247799</v>
      </c>
      <c r="E337" s="29">
        <v>1.0575201738247799</v>
      </c>
      <c r="F337" s="25" t="s">
        <v>19</v>
      </c>
      <c r="G337" s="29">
        <v>0.94237055221709098</v>
      </c>
      <c r="H337" s="30">
        <v>0.87721843127332499</v>
      </c>
    </row>
    <row r="338" spans="3:8">
      <c r="C338" s="24">
        <v>45386</v>
      </c>
      <c r="D338" s="29">
        <v>1.0575201738247799</v>
      </c>
      <c r="E338" s="29">
        <v>1.0575201738247799</v>
      </c>
      <c r="F338" s="25" t="s">
        <v>19</v>
      </c>
      <c r="G338" s="29">
        <v>0.94237055221709098</v>
      </c>
      <c r="H338" s="30">
        <v>0.87721843127332499</v>
      </c>
    </row>
    <row r="339" spans="3:8">
      <c r="C339" s="24">
        <v>45385</v>
      </c>
      <c r="D339" s="29">
        <v>1.0575201738247799</v>
      </c>
      <c r="E339" s="29">
        <v>1.0575201738247799</v>
      </c>
      <c r="F339" s="25" t="s">
        <v>19</v>
      </c>
      <c r="G339" s="29">
        <v>0.94237055221709098</v>
      </c>
      <c r="H339" s="30">
        <v>0.87721843127332499</v>
      </c>
    </row>
    <row r="340" spans="3:8">
      <c r="C340" s="24">
        <v>45384</v>
      </c>
      <c r="D340" s="29">
        <v>1.0575201738247799</v>
      </c>
      <c r="E340" s="29">
        <v>1.0575201738247799</v>
      </c>
      <c r="F340" s="25" t="s">
        <v>19</v>
      </c>
      <c r="G340" s="29">
        <v>0.95481532248818402</v>
      </c>
      <c r="H340" s="30">
        <v>0.85803476697481695</v>
      </c>
    </row>
    <row r="341" spans="3:8">
      <c r="C341" s="24">
        <v>45383</v>
      </c>
      <c r="D341" s="29">
        <v>1.0575201738247799</v>
      </c>
      <c r="E341" s="29">
        <v>1.0575201738247799</v>
      </c>
      <c r="F341" s="25" t="s">
        <v>19</v>
      </c>
      <c r="G341" s="29">
        <v>0.95481532248818402</v>
      </c>
      <c r="H341" s="30">
        <v>0.85803476697481695</v>
      </c>
    </row>
    <row r="342" spans="3:8">
      <c r="C342" s="24">
        <v>45380</v>
      </c>
      <c r="D342" s="29">
        <v>1.0575201738247799</v>
      </c>
      <c r="E342" s="29">
        <v>1.0575201738247799</v>
      </c>
      <c r="F342" s="25" t="s">
        <v>19</v>
      </c>
      <c r="G342" s="29">
        <v>0.95481532248818402</v>
      </c>
      <c r="H342" s="30">
        <v>0.85803476697481695</v>
      </c>
    </row>
    <row r="343" spans="3:8">
      <c r="C343" s="24">
        <v>45379</v>
      </c>
      <c r="D343" s="29">
        <v>1.0575201738247799</v>
      </c>
      <c r="E343" s="29">
        <v>1.0575201738247799</v>
      </c>
      <c r="F343" s="25" t="s">
        <v>19</v>
      </c>
      <c r="G343" s="29">
        <v>0.95481532248818402</v>
      </c>
      <c r="H343" s="30">
        <v>0.85803476697481695</v>
      </c>
    </row>
    <row r="344" spans="3:8">
      <c r="C344" s="24">
        <v>45378</v>
      </c>
      <c r="D344" s="29">
        <v>1.0575201738247799</v>
      </c>
      <c r="E344" s="29">
        <v>1.0575201738247799</v>
      </c>
      <c r="F344" s="25" t="s">
        <v>19</v>
      </c>
      <c r="G344" s="29">
        <v>0.95481532248818402</v>
      </c>
      <c r="H344" s="30">
        <v>0.85803476697481695</v>
      </c>
    </row>
    <row r="345" spans="3:8">
      <c r="C345" s="24">
        <v>45377</v>
      </c>
      <c r="D345" s="29">
        <v>1.0575201738247799</v>
      </c>
      <c r="E345" s="29">
        <v>1.0575201738247799</v>
      </c>
      <c r="F345" s="25" t="s">
        <v>19</v>
      </c>
      <c r="G345" s="29">
        <v>0.95481532248818402</v>
      </c>
      <c r="H345" s="30">
        <v>0.85803476697481695</v>
      </c>
    </row>
    <row r="346" spans="3:8">
      <c r="C346" s="24">
        <v>45376</v>
      </c>
      <c r="D346" s="29">
        <v>1.0575201738247799</v>
      </c>
      <c r="E346" s="29">
        <v>1.0575201738247799</v>
      </c>
      <c r="F346" s="25" t="s">
        <v>19</v>
      </c>
      <c r="G346" s="29">
        <v>0.95481532248818402</v>
      </c>
      <c r="H346" s="30">
        <v>0.85803476697481695</v>
      </c>
    </row>
    <row r="347" spans="3:8">
      <c r="C347" s="24">
        <v>45373</v>
      </c>
      <c r="D347" s="29">
        <v>1.0575201738247799</v>
      </c>
      <c r="E347" s="29">
        <v>1.0575201738247799</v>
      </c>
      <c r="F347" s="25" t="s">
        <v>19</v>
      </c>
      <c r="G347" s="29">
        <v>0.95481532248818402</v>
      </c>
      <c r="H347" s="30">
        <v>0.85803476697481695</v>
      </c>
    </row>
    <row r="348" spans="3:8">
      <c r="C348" s="24">
        <v>45372</v>
      </c>
      <c r="D348" s="29">
        <v>1.0575201738247799</v>
      </c>
      <c r="E348" s="29">
        <v>1.0575201738247799</v>
      </c>
      <c r="F348" s="25" t="s">
        <v>19</v>
      </c>
      <c r="G348" s="29">
        <v>0.95481532248818402</v>
      </c>
      <c r="H348" s="30">
        <v>0.85803476697481695</v>
      </c>
    </row>
    <row r="349" spans="3:8">
      <c r="C349" s="24">
        <v>45371</v>
      </c>
      <c r="D349" s="29">
        <v>1.0575201738247799</v>
      </c>
      <c r="E349" s="29">
        <v>1.0575201738247799</v>
      </c>
      <c r="F349" s="25" t="s">
        <v>19</v>
      </c>
      <c r="G349" s="29">
        <v>0.95481532248818402</v>
      </c>
      <c r="H349" s="30">
        <v>0.85803476697481695</v>
      </c>
    </row>
    <row r="350" spans="3:8">
      <c r="C350" s="24">
        <v>45370</v>
      </c>
      <c r="D350" s="29">
        <v>1.0575201738247799</v>
      </c>
      <c r="E350" s="29">
        <v>1.0575201738247799</v>
      </c>
      <c r="F350" s="25" t="s">
        <v>19</v>
      </c>
      <c r="G350" s="29">
        <v>0.95481532248818402</v>
      </c>
      <c r="H350" s="30">
        <v>0.85803476697481695</v>
      </c>
    </row>
    <row r="351" spans="3:8">
      <c r="C351" s="24">
        <v>45369</v>
      </c>
      <c r="D351" s="29">
        <v>1.0575201738247799</v>
      </c>
      <c r="E351" s="29">
        <v>1.0575201738247799</v>
      </c>
      <c r="F351" s="25" t="s">
        <v>19</v>
      </c>
      <c r="G351" s="29">
        <v>0.95481532248818402</v>
      </c>
      <c r="H351" s="30">
        <v>0.85803476697481695</v>
      </c>
    </row>
    <row r="352" spans="3:8">
      <c r="C352" s="24">
        <v>45366</v>
      </c>
      <c r="D352" s="29">
        <v>1.0575201738247799</v>
      </c>
      <c r="E352" s="29">
        <v>1.0575201738247799</v>
      </c>
      <c r="F352" s="25" t="s">
        <v>19</v>
      </c>
      <c r="G352" s="29">
        <v>0.95481532248818402</v>
      </c>
      <c r="H352" s="30">
        <v>0.85803476697481695</v>
      </c>
    </row>
    <row r="353" spans="3:8">
      <c r="C353" s="24">
        <v>45365</v>
      </c>
      <c r="D353" s="29">
        <v>1.0575201738247799</v>
      </c>
      <c r="E353" s="29">
        <v>1.0575201738247799</v>
      </c>
      <c r="F353" s="25" t="s">
        <v>19</v>
      </c>
      <c r="G353" s="29">
        <v>0.90984425459960105</v>
      </c>
      <c r="H353" s="30">
        <v>0.85803476697481695</v>
      </c>
    </row>
    <row r="354" spans="3:8">
      <c r="C354" s="24">
        <v>45364</v>
      </c>
      <c r="D354" s="29">
        <v>1.0575201738247799</v>
      </c>
      <c r="E354" s="29">
        <v>1.0575201738247799</v>
      </c>
      <c r="F354" s="25" t="s">
        <v>19</v>
      </c>
      <c r="G354" s="29">
        <v>0.90984425459960105</v>
      </c>
      <c r="H354" s="30">
        <v>0.86432479045695498</v>
      </c>
    </row>
    <row r="355" spans="3:8">
      <c r="C355" s="24">
        <v>45363</v>
      </c>
      <c r="D355" s="29">
        <v>1.0575201738247799</v>
      </c>
      <c r="E355" s="29">
        <v>1.0575201738247799</v>
      </c>
      <c r="F355" s="25" t="s">
        <v>19</v>
      </c>
      <c r="G355" s="29">
        <v>0.90984425459960105</v>
      </c>
      <c r="H355" s="30">
        <v>0.86432479045695498</v>
      </c>
    </row>
    <row r="356" spans="3:8">
      <c r="C356" s="24">
        <v>45362</v>
      </c>
      <c r="D356" s="29">
        <v>1.0575201738247799</v>
      </c>
      <c r="E356" s="29">
        <v>1.0575201738247799</v>
      </c>
      <c r="F356" s="25" t="s">
        <v>19</v>
      </c>
      <c r="G356" s="29">
        <v>0.90984425459960105</v>
      </c>
      <c r="H356" s="30">
        <v>0.86432479045695498</v>
      </c>
    </row>
    <row r="357" spans="3:8">
      <c r="C357" s="24">
        <v>45359</v>
      </c>
      <c r="D357" s="29">
        <v>1.0575201738247799</v>
      </c>
      <c r="E357" s="29">
        <v>1.0575201738247799</v>
      </c>
      <c r="F357" s="25" t="s">
        <v>19</v>
      </c>
      <c r="G357" s="29">
        <v>0.90984425459960105</v>
      </c>
      <c r="H357" s="30">
        <v>0.86432479045695498</v>
      </c>
    </row>
    <row r="358" spans="3:8">
      <c r="C358" s="24">
        <v>45358</v>
      </c>
      <c r="D358" s="29">
        <v>1.0575201738247799</v>
      </c>
      <c r="E358" s="29">
        <v>1.0575201738247799</v>
      </c>
      <c r="F358" s="25" t="s">
        <v>19</v>
      </c>
      <c r="G358" s="29">
        <v>0.90984425459960105</v>
      </c>
      <c r="H358" s="30">
        <v>0.86432479045695498</v>
      </c>
    </row>
    <row r="359" spans="3:8">
      <c r="C359" s="24">
        <v>45357</v>
      </c>
      <c r="D359" s="29">
        <v>1.0575201738247799</v>
      </c>
      <c r="E359" s="29">
        <v>1.0575201738247799</v>
      </c>
      <c r="F359" s="25" t="s">
        <v>19</v>
      </c>
      <c r="G359" s="29">
        <v>0.90984425459960105</v>
      </c>
      <c r="H359" s="30">
        <v>0.86432479045695498</v>
      </c>
    </row>
    <row r="360" spans="3:8">
      <c r="C360" s="24">
        <v>45356</v>
      </c>
      <c r="D360" s="29">
        <v>1.0575201738247799</v>
      </c>
      <c r="E360" s="29">
        <v>1.0575201738247799</v>
      </c>
      <c r="F360" s="25" t="s">
        <v>19</v>
      </c>
      <c r="G360" s="29">
        <v>0.90984425459960105</v>
      </c>
      <c r="H360" s="30">
        <v>0.86432479045695498</v>
      </c>
    </row>
    <row r="361" spans="3:8">
      <c r="C361" s="24">
        <v>45355</v>
      </c>
      <c r="D361" s="29">
        <v>1.0575201738247799</v>
      </c>
      <c r="E361" s="29">
        <v>1.0575201738247799</v>
      </c>
      <c r="F361" s="25" t="s">
        <v>19</v>
      </c>
      <c r="G361" s="29">
        <v>0.90984425459960105</v>
      </c>
      <c r="H361" s="30">
        <v>0.86432479045695498</v>
      </c>
    </row>
    <row r="362" spans="3:8">
      <c r="C362" s="24">
        <v>45352</v>
      </c>
      <c r="D362" s="29">
        <v>1.0575201738247799</v>
      </c>
      <c r="E362" s="29">
        <v>1.0575201738247799</v>
      </c>
      <c r="F362" s="25" t="s">
        <v>19</v>
      </c>
      <c r="G362" s="29">
        <v>0.90984425459960105</v>
      </c>
      <c r="H362" s="30">
        <v>0.86432479045695498</v>
      </c>
    </row>
    <row r="363" spans="3:8">
      <c r="C363" s="24">
        <v>45351</v>
      </c>
      <c r="D363" s="29">
        <v>1.0575201738247799</v>
      </c>
      <c r="E363" s="29">
        <v>1.0575201738247799</v>
      </c>
      <c r="F363" s="25" t="s">
        <v>19</v>
      </c>
      <c r="G363" s="29">
        <v>0.90984425459960105</v>
      </c>
      <c r="H363" s="30">
        <v>0.86432479045695498</v>
      </c>
    </row>
    <row r="364" spans="3:8">
      <c r="C364" s="24">
        <v>45350</v>
      </c>
      <c r="D364" s="29">
        <v>1.0575201738247799</v>
      </c>
      <c r="E364" s="29">
        <v>1.0575201738247799</v>
      </c>
      <c r="F364" s="25" t="s">
        <v>19</v>
      </c>
      <c r="G364" s="29">
        <v>0.90984425459960105</v>
      </c>
      <c r="H364" s="30">
        <v>0.77904683977634404</v>
      </c>
    </row>
    <row r="365" spans="3:8">
      <c r="C365" s="24">
        <v>45349</v>
      </c>
      <c r="D365" s="29">
        <v>1.0575201738247799</v>
      </c>
      <c r="E365" s="29">
        <v>1.0575201738247799</v>
      </c>
      <c r="F365" s="25" t="s">
        <v>19</v>
      </c>
      <c r="G365" s="29">
        <v>0.90984425459960105</v>
      </c>
      <c r="H365" s="30">
        <v>0.77904683977634404</v>
      </c>
    </row>
    <row r="366" spans="3:8">
      <c r="C366" s="24">
        <v>45348</v>
      </c>
      <c r="D366" s="29">
        <v>1.0575201738247799</v>
      </c>
      <c r="E366" s="29">
        <v>1.0575201738247799</v>
      </c>
      <c r="F366" s="25" t="s">
        <v>19</v>
      </c>
      <c r="G366" s="29">
        <v>0.90984425459960105</v>
      </c>
      <c r="H366" s="30">
        <v>0.77904683977634404</v>
      </c>
    </row>
    <row r="367" spans="3:8">
      <c r="C367" s="24">
        <v>45345</v>
      </c>
      <c r="D367" s="29">
        <v>1.0575201738247799</v>
      </c>
      <c r="E367" s="29">
        <v>1.0575201738247799</v>
      </c>
      <c r="F367" s="25" t="s">
        <v>19</v>
      </c>
      <c r="G367" s="29">
        <v>0.90984425459960105</v>
      </c>
      <c r="H367" s="30">
        <v>0.77904683977634404</v>
      </c>
    </row>
    <row r="368" spans="3:8">
      <c r="C368" s="24">
        <v>45344</v>
      </c>
      <c r="D368" s="29">
        <v>1.0575201738247799</v>
      </c>
      <c r="E368" s="29">
        <v>1.0575201738247799</v>
      </c>
      <c r="F368" s="25" t="s">
        <v>19</v>
      </c>
      <c r="G368" s="29">
        <v>0.90984425459960105</v>
      </c>
      <c r="H368" s="30">
        <v>0.85940138429699897</v>
      </c>
    </row>
    <row r="369" spans="3:8">
      <c r="C369" s="24">
        <v>45343</v>
      </c>
      <c r="D369" s="29">
        <v>1.0575201738247799</v>
      </c>
      <c r="E369" s="29">
        <v>1.0575201738247799</v>
      </c>
      <c r="F369" s="25" t="s">
        <v>19</v>
      </c>
      <c r="G369" s="29">
        <v>0.90984425459960105</v>
      </c>
      <c r="H369" s="30">
        <v>0.85940138429699897</v>
      </c>
    </row>
    <row r="370" spans="3:8">
      <c r="C370" s="24">
        <v>45342</v>
      </c>
      <c r="D370" s="29">
        <v>1.0575201738247799</v>
      </c>
      <c r="E370" s="29">
        <v>1.0575201738247799</v>
      </c>
      <c r="F370" s="25" t="s">
        <v>19</v>
      </c>
      <c r="G370" s="29">
        <v>0.90984425459960105</v>
      </c>
      <c r="H370" s="30">
        <v>0.85940138429699897</v>
      </c>
    </row>
    <row r="371" spans="3:8">
      <c r="C371" s="24">
        <v>45341</v>
      </c>
      <c r="D371" s="29">
        <v>1.0575201738247799</v>
      </c>
      <c r="E371" s="29">
        <v>1.0575201738247799</v>
      </c>
      <c r="F371" s="25" t="s">
        <v>19</v>
      </c>
      <c r="G371" s="29">
        <v>0.90984425459960105</v>
      </c>
      <c r="H371" s="30">
        <v>0.85940138429699897</v>
      </c>
    </row>
    <row r="372" spans="3:8">
      <c r="C372" s="24">
        <v>45338</v>
      </c>
      <c r="D372" s="29">
        <v>1.0575201738247799</v>
      </c>
      <c r="E372" s="29">
        <v>1.0575201738247799</v>
      </c>
      <c r="F372" s="25" t="s">
        <v>19</v>
      </c>
      <c r="G372" s="29">
        <v>0.90984425459960105</v>
      </c>
      <c r="H372" s="30">
        <v>0.85940138429699897</v>
      </c>
    </row>
    <row r="373" spans="3:8">
      <c r="C373" s="24">
        <v>45337</v>
      </c>
      <c r="D373" s="29">
        <v>1.0575201738247799</v>
      </c>
      <c r="E373" s="29">
        <v>1.0575201738247799</v>
      </c>
      <c r="F373" s="25" t="s">
        <v>19</v>
      </c>
      <c r="G373" s="29">
        <v>0.90984425459960105</v>
      </c>
      <c r="H373" s="30">
        <v>0.85940138429699897</v>
      </c>
    </row>
    <row r="374" spans="3:8">
      <c r="C374" s="24">
        <v>45336</v>
      </c>
      <c r="D374" s="29">
        <v>1.0575201738247799</v>
      </c>
      <c r="E374" s="29">
        <v>1.0575201738247799</v>
      </c>
      <c r="F374" s="25" t="s">
        <v>19</v>
      </c>
      <c r="G374" s="29">
        <v>0.90984425459960105</v>
      </c>
      <c r="H374" s="30">
        <v>0.85940138429699897</v>
      </c>
    </row>
    <row r="375" spans="3:8">
      <c r="C375" s="24">
        <v>45335</v>
      </c>
      <c r="D375" s="29">
        <v>1.0575201738247799</v>
      </c>
      <c r="E375" s="29">
        <v>1.0575201738247799</v>
      </c>
      <c r="F375" s="25" t="s">
        <v>19</v>
      </c>
      <c r="G375" s="29">
        <v>0.90984425459960105</v>
      </c>
      <c r="H375" s="30">
        <v>0.85940138429699897</v>
      </c>
    </row>
    <row r="376" spans="3:8">
      <c r="C376" s="24">
        <v>45334</v>
      </c>
      <c r="D376" s="29">
        <v>1.0575201738247799</v>
      </c>
      <c r="E376" s="29">
        <v>1.0575201738247799</v>
      </c>
      <c r="F376" s="25" t="s">
        <v>19</v>
      </c>
      <c r="G376" s="29">
        <v>0.90984425459960105</v>
      </c>
      <c r="H376" s="30">
        <v>0.85940138429699897</v>
      </c>
    </row>
    <row r="377" spans="3:8">
      <c r="C377" s="24">
        <v>45331</v>
      </c>
      <c r="D377" s="29">
        <v>1.0575201738247799</v>
      </c>
      <c r="E377" s="29">
        <v>1.0575201738247799</v>
      </c>
      <c r="F377" s="25" t="s">
        <v>19</v>
      </c>
      <c r="G377" s="29">
        <v>0.90984425459960105</v>
      </c>
      <c r="H377" s="30">
        <v>0.85940138429699897</v>
      </c>
    </row>
    <row r="378" spans="3:8">
      <c r="C378" s="24">
        <v>45330</v>
      </c>
      <c r="D378" s="29">
        <v>1.0575201738247799</v>
      </c>
      <c r="E378" s="29">
        <v>1.0575201738247799</v>
      </c>
      <c r="F378" s="25" t="s">
        <v>19</v>
      </c>
      <c r="G378" s="29">
        <v>1.0231371231544499</v>
      </c>
      <c r="H378" s="30">
        <v>0.935884701365296</v>
      </c>
    </row>
    <row r="379" spans="3:8">
      <c r="C379" s="24">
        <v>45329</v>
      </c>
      <c r="D379" s="29">
        <v>1.0575201738247799</v>
      </c>
      <c r="E379" s="29">
        <v>1.0575201738247799</v>
      </c>
      <c r="F379" s="25" t="s">
        <v>19</v>
      </c>
      <c r="G379" s="29">
        <v>1.0231371231544499</v>
      </c>
      <c r="H379" s="30">
        <v>0.935884701365296</v>
      </c>
    </row>
    <row r="380" spans="3:8">
      <c r="C380" s="24">
        <v>45328</v>
      </c>
      <c r="D380" s="29">
        <v>1.0575201738247799</v>
      </c>
      <c r="E380" s="29">
        <v>1.0575201738247799</v>
      </c>
      <c r="F380" s="25" t="s">
        <v>19</v>
      </c>
      <c r="G380" s="29">
        <v>1.0231371231544499</v>
      </c>
      <c r="H380" s="30">
        <v>0.935884701365296</v>
      </c>
    </row>
    <row r="381" spans="3:8">
      <c r="C381" s="24">
        <v>45327</v>
      </c>
      <c r="D381" s="29">
        <v>1.0575201738247799</v>
      </c>
      <c r="E381" s="29">
        <v>1.0575201738247799</v>
      </c>
      <c r="F381" s="25" t="s">
        <v>19</v>
      </c>
      <c r="G381" s="29">
        <v>1.0231371231544499</v>
      </c>
      <c r="H381" s="30">
        <v>0.935884701365296</v>
      </c>
    </row>
    <row r="382" spans="3:8">
      <c r="C382" s="24">
        <v>45324</v>
      </c>
      <c r="D382" s="29">
        <v>1.0575201738247799</v>
      </c>
      <c r="E382" s="29">
        <v>1.0575201738247799</v>
      </c>
      <c r="F382" s="25" t="s">
        <v>19</v>
      </c>
      <c r="G382" s="29">
        <v>1.0231371231544499</v>
      </c>
      <c r="H382" s="30">
        <v>0.935884701365296</v>
      </c>
    </row>
    <row r="383" spans="3:8">
      <c r="C383" s="24">
        <v>45323</v>
      </c>
      <c r="D383" s="29">
        <v>1.0575201738247799</v>
      </c>
      <c r="E383" s="29">
        <v>1.0575201738247799</v>
      </c>
      <c r="F383" s="25" t="s">
        <v>19</v>
      </c>
      <c r="G383" s="29">
        <v>0.99063754127508197</v>
      </c>
      <c r="H383" s="30">
        <v>0.946932943865888</v>
      </c>
    </row>
    <row r="384" spans="3:8">
      <c r="C384" s="24">
        <v>45322</v>
      </c>
      <c r="D384" s="29">
        <v>1.0575201738247799</v>
      </c>
      <c r="E384" s="29">
        <v>1.0575201738247799</v>
      </c>
      <c r="F384" s="25" t="s">
        <v>19</v>
      </c>
      <c r="G384" s="29">
        <v>0.99063754127508197</v>
      </c>
      <c r="H384" s="30">
        <v>0.946932943865888</v>
      </c>
    </row>
    <row r="385" spans="3:8">
      <c r="C385" s="24">
        <v>45321</v>
      </c>
      <c r="D385" s="29">
        <v>1.0575201738247799</v>
      </c>
      <c r="E385" s="29">
        <v>1.0575201738247799</v>
      </c>
      <c r="F385" s="25" t="s">
        <v>19</v>
      </c>
      <c r="G385" s="29">
        <v>0.99063754127508197</v>
      </c>
      <c r="H385" s="30">
        <v>0.946932943865888</v>
      </c>
    </row>
    <row r="386" spans="3:8">
      <c r="C386" s="24">
        <v>45320</v>
      </c>
      <c r="D386" s="29">
        <v>1.0575201738247799</v>
      </c>
      <c r="E386" s="29">
        <v>1.0575201738247799</v>
      </c>
      <c r="F386" s="25" t="s">
        <v>19</v>
      </c>
      <c r="G386" s="29">
        <v>0.99063754127508197</v>
      </c>
      <c r="H386" s="30">
        <v>0.946932943865888</v>
      </c>
    </row>
    <row r="387" spans="3:8">
      <c r="C387" s="24">
        <v>45317</v>
      </c>
      <c r="D387" s="29">
        <v>1.0575201738247799</v>
      </c>
      <c r="E387" s="29">
        <v>1.0575201738247799</v>
      </c>
      <c r="F387" s="25" t="s">
        <v>19</v>
      </c>
      <c r="G387" s="29">
        <v>0.99063754127508197</v>
      </c>
      <c r="H387" s="30">
        <v>0.946932943865888</v>
      </c>
    </row>
    <row r="388" spans="3:8">
      <c r="C388" s="24">
        <v>45316</v>
      </c>
      <c r="D388" s="29">
        <v>1.0575201738247799</v>
      </c>
      <c r="E388" s="29">
        <v>1.0575201738247799</v>
      </c>
      <c r="F388" s="25" t="s">
        <v>19</v>
      </c>
      <c r="G388" s="29">
        <v>0.99063754127508197</v>
      </c>
      <c r="H388" s="30">
        <v>0.946932943865888</v>
      </c>
    </row>
    <row r="389" spans="3:8">
      <c r="C389" s="24">
        <v>45315</v>
      </c>
      <c r="D389" s="29">
        <v>1.0575201738247799</v>
      </c>
      <c r="E389" s="29">
        <v>1.0575201738247799</v>
      </c>
      <c r="F389" s="25" t="s">
        <v>19</v>
      </c>
      <c r="G389" s="29">
        <v>0.99063754127508197</v>
      </c>
      <c r="H389" s="30">
        <v>0.946932943865888</v>
      </c>
    </row>
    <row r="390" spans="3:8">
      <c r="C390" s="24">
        <v>45314</v>
      </c>
      <c r="D390" s="29">
        <v>1.0575201738247799</v>
      </c>
      <c r="E390" s="29">
        <v>1.0575201738247799</v>
      </c>
      <c r="F390" s="25">
        <v>10</v>
      </c>
      <c r="G390" s="29">
        <v>0.99063754127508197</v>
      </c>
      <c r="H390" s="30">
        <v>0.946932943865888</v>
      </c>
    </row>
    <row r="391" spans="3:8">
      <c r="C391" s="24">
        <v>45313</v>
      </c>
      <c r="D391" s="29">
        <v>1.0575201738247799</v>
      </c>
      <c r="E391" s="29">
        <v>1.0575201738247799</v>
      </c>
      <c r="F391" s="25" t="s">
        <v>19</v>
      </c>
      <c r="G391" s="29">
        <v>0.99063754127508197</v>
      </c>
      <c r="H391" s="30">
        <v>0.946932943865888</v>
      </c>
    </row>
    <row r="392" spans="3:8">
      <c r="C392" s="24">
        <v>45310</v>
      </c>
      <c r="D392" s="29">
        <v>1.0575201738247799</v>
      </c>
      <c r="E392" s="29">
        <v>1.0575201738247799</v>
      </c>
      <c r="F392" s="25" t="s">
        <v>19</v>
      </c>
      <c r="G392" s="29">
        <v>0.99063754127508197</v>
      </c>
      <c r="H392" s="30">
        <v>0.946932943865888</v>
      </c>
    </row>
    <row r="393" spans="3:8">
      <c r="C393" s="24">
        <v>45309</v>
      </c>
      <c r="D393" s="29">
        <v>1.0575201738247799</v>
      </c>
      <c r="E393" s="29">
        <v>1.0575201738247799</v>
      </c>
      <c r="F393" s="25" t="s">
        <v>19</v>
      </c>
      <c r="G393" s="29">
        <v>1.06097800545581</v>
      </c>
      <c r="H393" s="30">
        <v>1.0111852299689199</v>
      </c>
    </row>
    <row r="394" spans="3:8">
      <c r="C394" s="24">
        <v>45308</v>
      </c>
      <c r="D394" s="29">
        <v>1.0575201738247799</v>
      </c>
      <c r="E394" s="29">
        <v>1.0575201738247799</v>
      </c>
      <c r="F394" s="25" t="s">
        <v>19</v>
      </c>
      <c r="G394" s="29">
        <v>1.06097800545581</v>
      </c>
      <c r="H394" s="30">
        <v>1.0111852299689199</v>
      </c>
    </row>
    <row r="395" spans="3:8">
      <c r="C395" s="24">
        <v>45307</v>
      </c>
      <c r="D395" s="29">
        <v>1.0575201738247799</v>
      </c>
      <c r="E395" s="29">
        <v>1.0575201738247799</v>
      </c>
      <c r="F395" s="25" t="s">
        <v>19</v>
      </c>
      <c r="G395" s="29">
        <v>1.06097800545581</v>
      </c>
      <c r="H395" s="30">
        <v>1.0111852299689199</v>
      </c>
    </row>
    <row r="396" spans="3:8">
      <c r="C396" s="24">
        <v>45306</v>
      </c>
      <c r="D396" s="29">
        <v>1.0575201738247799</v>
      </c>
      <c r="E396" s="29">
        <v>1.0575201738247799</v>
      </c>
      <c r="F396" s="25" t="s">
        <v>19</v>
      </c>
      <c r="G396" s="29">
        <v>1.06097800545581</v>
      </c>
      <c r="H396" s="30">
        <v>1.0111852299689199</v>
      </c>
    </row>
    <row r="397" spans="3:8">
      <c r="C397" s="24">
        <v>45303</v>
      </c>
      <c r="D397" s="29">
        <v>1.0575201738247799</v>
      </c>
      <c r="E397" s="29">
        <v>1.0575201738247799</v>
      </c>
      <c r="F397" s="25" t="s">
        <v>19</v>
      </c>
      <c r="G397" s="29">
        <v>1.06097800545581</v>
      </c>
      <c r="H397" s="30">
        <v>1.0111852299689199</v>
      </c>
    </row>
    <row r="398" spans="3:8">
      <c r="C398" s="24">
        <v>45302</v>
      </c>
      <c r="D398" s="29">
        <v>1.0575201738247799</v>
      </c>
      <c r="E398" s="29">
        <v>1.0575201738247799</v>
      </c>
      <c r="F398" s="25" t="s">
        <v>19</v>
      </c>
      <c r="G398" s="29">
        <v>1.06097800545581</v>
      </c>
      <c r="H398" s="30">
        <v>1.0111852299689199</v>
      </c>
    </row>
    <row r="399" spans="3:8">
      <c r="C399" s="24">
        <v>45301</v>
      </c>
      <c r="D399" s="29">
        <v>1.0575201738247799</v>
      </c>
      <c r="E399" s="29">
        <v>1.0575201738247799</v>
      </c>
      <c r="F399" s="25" t="s">
        <v>19</v>
      </c>
      <c r="G399" s="29">
        <v>1.06097800545581</v>
      </c>
      <c r="H399" s="30">
        <v>1.0111852299689199</v>
      </c>
    </row>
    <row r="400" spans="3:8">
      <c r="C400" s="24">
        <v>45300</v>
      </c>
      <c r="D400" s="29">
        <v>1.0575201738247799</v>
      </c>
      <c r="E400" s="29">
        <v>1.0575201738247799</v>
      </c>
      <c r="F400" s="25" t="s">
        <v>19</v>
      </c>
      <c r="G400" s="29">
        <v>1.06097800545581</v>
      </c>
      <c r="H400" s="30">
        <v>1.0111852299689199</v>
      </c>
    </row>
    <row r="401" spans="3:8">
      <c r="C401" s="24">
        <v>45299</v>
      </c>
      <c r="D401" s="29">
        <v>1.0575201738247799</v>
      </c>
      <c r="E401" s="29">
        <v>1.0575201738247799</v>
      </c>
      <c r="F401" s="25" t="s">
        <v>19</v>
      </c>
      <c r="G401" s="29">
        <v>1.06097800545581</v>
      </c>
      <c r="H401" s="30">
        <v>1.0111852299689199</v>
      </c>
    </row>
    <row r="402" spans="3:8">
      <c r="C402" s="24">
        <v>45296</v>
      </c>
      <c r="D402" s="29">
        <v>1.0575201738247799</v>
      </c>
      <c r="E402" s="29">
        <v>1.0575201738247799</v>
      </c>
      <c r="F402" s="25" t="s">
        <v>19</v>
      </c>
      <c r="G402" s="29">
        <v>1.06097800545581</v>
      </c>
      <c r="H402" s="30">
        <v>1.0111852299689199</v>
      </c>
    </row>
    <row r="403" spans="3:8">
      <c r="C403" s="24">
        <v>45295</v>
      </c>
      <c r="D403" s="29">
        <v>1.0575201738247799</v>
      </c>
      <c r="E403" s="29">
        <v>1.0575201738247799</v>
      </c>
      <c r="F403" s="25" t="s">
        <v>19</v>
      </c>
      <c r="G403" s="29">
        <v>1.06097800545581</v>
      </c>
      <c r="H403" s="30">
        <v>1.0111852299689199</v>
      </c>
    </row>
    <row r="404" spans="3:8">
      <c r="C404" s="24">
        <v>45294</v>
      </c>
      <c r="D404" s="29">
        <v>1.0575201738247799</v>
      </c>
      <c r="E404" s="29">
        <v>1.0575201738247799</v>
      </c>
      <c r="F404" s="25" t="s">
        <v>19</v>
      </c>
      <c r="G404" s="29">
        <v>1.06097800545581</v>
      </c>
      <c r="H404" s="30">
        <v>1.0111852299689199</v>
      </c>
    </row>
    <row r="405" spans="3:8">
      <c r="C405" s="24">
        <v>45293</v>
      </c>
      <c r="D405" s="29">
        <v>1.0575201738247799</v>
      </c>
      <c r="E405" s="29">
        <v>1.0575201738247799</v>
      </c>
      <c r="F405" s="25" t="s">
        <v>19</v>
      </c>
      <c r="G405" s="29">
        <v>1.06097800545581</v>
      </c>
      <c r="H405" s="30">
        <v>1.0111852299689199</v>
      </c>
    </row>
    <row r="406" spans="3:8">
      <c r="C406" s="24">
        <v>45292</v>
      </c>
      <c r="D406" s="29">
        <v>1.0575201738247799</v>
      </c>
      <c r="E406" s="29">
        <v>1.0575201738247799</v>
      </c>
      <c r="F406" s="25" t="s">
        <v>19</v>
      </c>
      <c r="G406" s="29">
        <v>1.06097800545581</v>
      </c>
      <c r="H406" s="30">
        <v>1.0111852299689199</v>
      </c>
    </row>
    <row r="407" spans="3:8">
      <c r="C407" s="24">
        <v>45289</v>
      </c>
      <c r="D407" s="29">
        <v>1.0575201738247799</v>
      </c>
      <c r="E407" s="29">
        <v>1.0575201738247799</v>
      </c>
      <c r="F407" s="25" t="s">
        <v>19</v>
      </c>
      <c r="G407" s="29">
        <v>1.06097800545581</v>
      </c>
      <c r="H407" s="30">
        <v>1.0111852299689199</v>
      </c>
    </row>
    <row r="408" spans="3:8">
      <c r="C408" s="24">
        <v>45288</v>
      </c>
      <c r="D408" s="29">
        <v>1.0575201738247799</v>
      </c>
      <c r="E408" s="29">
        <v>1.0575201738247799</v>
      </c>
      <c r="F408" s="25" t="s">
        <v>19</v>
      </c>
      <c r="G408" s="29">
        <v>1.06097800545581</v>
      </c>
      <c r="H408" s="30">
        <v>1.0111852299689199</v>
      </c>
    </row>
    <row r="409" spans="3:8">
      <c r="C409" s="24">
        <v>45287</v>
      </c>
      <c r="D409" s="29">
        <v>1.0575201738247799</v>
      </c>
      <c r="E409" s="29">
        <v>1.0575201738247799</v>
      </c>
      <c r="F409" s="25" t="s">
        <v>19</v>
      </c>
      <c r="G409" s="29">
        <v>1.06097800545581</v>
      </c>
      <c r="H409" s="30">
        <v>1.0111852299689199</v>
      </c>
    </row>
    <row r="410" spans="3:8">
      <c r="C410" s="24">
        <v>45286</v>
      </c>
      <c r="D410" s="29">
        <v>1.0575201738247799</v>
      </c>
      <c r="E410" s="29">
        <v>1.0575201738247799</v>
      </c>
      <c r="F410" s="25" t="s">
        <v>19</v>
      </c>
      <c r="G410" s="29">
        <v>1.06097800545581</v>
      </c>
      <c r="H410" s="30">
        <v>1.0111852299689199</v>
      </c>
    </row>
    <row r="411" spans="3:8">
      <c r="C411" s="24">
        <v>45285</v>
      </c>
      <c r="D411" s="29">
        <v>1.0575201738247799</v>
      </c>
      <c r="E411" s="29">
        <v>1.0575201738247799</v>
      </c>
      <c r="F411" s="25" t="s">
        <v>19</v>
      </c>
      <c r="G411" s="29">
        <v>1.06097800545581</v>
      </c>
      <c r="H411" s="30">
        <v>1.0111852299689199</v>
      </c>
    </row>
    <row r="412" spans="3:8">
      <c r="C412" s="24">
        <v>45282</v>
      </c>
      <c r="D412" s="29">
        <v>1.0575201738247799</v>
      </c>
      <c r="E412" s="29">
        <v>1.0575201738247799</v>
      </c>
      <c r="F412" s="25" t="s">
        <v>19</v>
      </c>
      <c r="G412" s="29">
        <v>1.06097800545581</v>
      </c>
      <c r="H412" s="30">
        <v>1.0111852299689199</v>
      </c>
    </row>
    <row r="413" spans="3:8">
      <c r="C413" s="24">
        <v>45281</v>
      </c>
      <c r="D413" s="29">
        <v>1.0575201738247799</v>
      </c>
      <c r="E413" s="29">
        <v>1.0575201738247799</v>
      </c>
      <c r="F413" s="25">
        <v>10</v>
      </c>
      <c r="G413" s="29">
        <v>1.06097800545581</v>
      </c>
      <c r="H413" s="30">
        <v>1.0111852299689199</v>
      </c>
    </row>
    <row r="414" spans="3:8">
      <c r="C414" s="24">
        <v>45280</v>
      </c>
      <c r="D414" s="29">
        <v>1.00865953790338</v>
      </c>
      <c r="E414" s="29">
        <v>1.00865953790338</v>
      </c>
      <c r="F414" s="25" t="s">
        <v>19</v>
      </c>
      <c r="G414" s="29">
        <v>1.0394990134300801</v>
      </c>
      <c r="H414" s="30">
        <v>0.99486293043090801</v>
      </c>
    </row>
    <row r="415" spans="3:8">
      <c r="C415" s="24">
        <v>45279</v>
      </c>
      <c r="D415" s="29">
        <v>1.00865953790338</v>
      </c>
      <c r="E415" s="29">
        <v>1.00865953790338</v>
      </c>
      <c r="F415" s="25">
        <v>15</v>
      </c>
      <c r="G415" s="29">
        <v>1.0394990134300801</v>
      </c>
      <c r="H415" s="30">
        <v>0.99486293043090801</v>
      </c>
    </row>
    <row r="416" spans="3:8">
      <c r="C416" s="24">
        <v>45278</v>
      </c>
      <c r="D416" s="29">
        <v>1.1728197528383399</v>
      </c>
      <c r="E416" s="29">
        <v>1.1769041997387699</v>
      </c>
      <c r="F416" s="25" t="s">
        <v>19</v>
      </c>
      <c r="G416" s="29">
        <v>1.19394217823772</v>
      </c>
      <c r="H416" s="30">
        <v>1.1662846377976499</v>
      </c>
    </row>
    <row r="417" spans="3:8">
      <c r="C417" s="24">
        <v>45275</v>
      </c>
      <c r="D417" s="29">
        <v>1.1728197528383399</v>
      </c>
      <c r="E417" s="29">
        <v>1.1769041997387699</v>
      </c>
      <c r="F417" s="25" t="s">
        <v>19</v>
      </c>
      <c r="G417" s="29">
        <v>1.19394217823772</v>
      </c>
      <c r="H417" s="30">
        <v>1.1662846377976499</v>
      </c>
    </row>
    <row r="418" spans="3:8">
      <c r="C418" s="24">
        <v>45274</v>
      </c>
      <c r="D418" s="29">
        <v>1.1728197528383399</v>
      </c>
      <c r="E418" s="29">
        <v>1.1769041997387699</v>
      </c>
      <c r="F418" s="25" t="s">
        <v>19</v>
      </c>
      <c r="G418" s="29">
        <v>1.19394217823772</v>
      </c>
      <c r="H418" s="30">
        <v>1.1662846377976499</v>
      </c>
    </row>
    <row r="419" spans="3:8">
      <c r="C419" s="24">
        <v>45273</v>
      </c>
      <c r="D419" s="29">
        <v>1.1728197528383399</v>
      </c>
      <c r="E419" s="29">
        <v>1.1769041997387699</v>
      </c>
      <c r="F419" s="25" t="s">
        <v>19</v>
      </c>
      <c r="G419" s="29">
        <v>1.19394217823772</v>
      </c>
      <c r="H419" s="30">
        <v>1.1662846377976499</v>
      </c>
    </row>
    <row r="420" spans="3:8">
      <c r="C420" s="24">
        <v>45272</v>
      </c>
      <c r="D420" s="29">
        <v>1.1728197528383399</v>
      </c>
      <c r="E420" s="29">
        <v>1.1769041997387699</v>
      </c>
      <c r="F420" s="25" t="s">
        <v>19</v>
      </c>
      <c r="G420" s="29">
        <v>1.19394217823772</v>
      </c>
      <c r="H420" s="30">
        <v>1.1662846377976499</v>
      </c>
    </row>
    <row r="421" spans="3:8">
      <c r="C421" s="24">
        <v>45271</v>
      </c>
      <c r="D421" s="29">
        <v>1.1728197528383399</v>
      </c>
      <c r="E421" s="29">
        <v>1.1769041997387699</v>
      </c>
      <c r="F421" s="25" t="s">
        <v>19</v>
      </c>
      <c r="G421" s="29">
        <v>1.19394217823772</v>
      </c>
      <c r="H421" s="30">
        <v>1.1662846377976499</v>
      </c>
    </row>
    <row r="422" spans="3:8">
      <c r="C422" s="24">
        <v>45268</v>
      </c>
      <c r="D422" s="29">
        <v>1.1728197528383399</v>
      </c>
      <c r="E422" s="29">
        <v>1.1769041997387699</v>
      </c>
      <c r="F422" s="25" t="s">
        <v>19</v>
      </c>
      <c r="G422" s="29">
        <v>1.19394217823772</v>
      </c>
      <c r="H422" s="30">
        <v>1.1662846377976499</v>
      </c>
    </row>
    <row r="423" spans="3:8">
      <c r="C423" s="24">
        <v>45267</v>
      </c>
      <c r="D423" s="29">
        <v>1.1728197528383399</v>
      </c>
      <c r="E423" s="29">
        <v>1.1769041997387699</v>
      </c>
      <c r="F423" s="25" t="s">
        <v>19</v>
      </c>
      <c r="G423" s="29">
        <v>1.19394217823772</v>
      </c>
      <c r="H423" s="30">
        <v>1.1662846377976499</v>
      </c>
    </row>
    <row r="424" spans="3:8">
      <c r="C424" s="24">
        <v>45266</v>
      </c>
      <c r="D424" s="29">
        <v>1.1728197528383399</v>
      </c>
      <c r="E424" s="29">
        <v>1.1769041997387699</v>
      </c>
      <c r="F424" s="29">
        <v>20</v>
      </c>
      <c r="G424" s="29">
        <v>1.19394217823772</v>
      </c>
      <c r="H424" s="30">
        <v>1.1662846377976499</v>
      </c>
    </row>
    <row r="425" spans="3:8">
      <c r="C425" s="24">
        <v>45265</v>
      </c>
      <c r="D425" s="29">
        <v>0.90537333787930496</v>
      </c>
      <c r="E425" s="29">
        <v>0.90537333787930496</v>
      </c>
      <c r="F425" s="25" t="s">
        <v>19</v>
      </c>
      <c r="G425" s="29">
        <v>1.15978940674231</v>
      </c>
      <c r="H425" s="30">
        <v>1.1336585651500499</v>
      </c>
    </row>
    <row r="426" spans="3:8">
      <c r="C426" s="24">
        <v>45264</v>
      </c>
      <c r="D426" s="29">
        <v>0.90537333787930496</v>
      </c>
      <c r="E426" s="29">
        <v>0.90537333787930496</v>
      </c>
      <c r="F426" s="25" t="s">
        <v>19</v>
      </c>
      <c r="G426" s="29">
        <v>1.22438148021828</v>
      </c>
      <c r="H426" s="30">
        <v>1.18008318806528</v>
      </c>
    </row>
    <row r="427" spans="3:8">
      <c r="C427" s="24">
        <v>45261</v>
      </c>
      <c r="D427" s="29">
        <v>0.90537333787930496</v>
      </c>
      <c r="E427" s="29">
        <v>0.90537333787930496</v>
      </c>
      <c r="F427" s="25" t="s">
        <v>19</v>
      </c>
      <c r="G427" s="29">
        <v>1.32252081915164</v>
      </c>
      <c r="H427" s="30">
        <v>1.29742665481331</v>
      </c>
    </row>
    <row r="428" spans="3:8">
      <c r="C428" s="24">
        <v>45260</v>
      </c>
      <c r="D428" s="29">
        <v>0.90537333787930496</v>
      </c>
      <c r="E428" s="29">
        <v>0.90537333787930496</v>
      </c>
      <c r="F428" s="25" t="s">
        <v>19</v>
      </c>
      <c r="G428" s="29">
        <v>1.2752964759488601</v>
      </c>
      <c r="H428" s="30">
        <v>1.22833810948288</v>
      </c>
    </row>
    <row r="429" spans="3:8">
      <c r="C429" s="24">
        <v>45259</v>
      </c>
      <c r="D429" s="29">
        <v>0.90537333787930496</v>
      </c>
      <c r="E429" s="29">
        <v>0.90537333787930496</v>
      </c>
      <c r="F429" s="25" t="s">
        <v>19</v>
      </c>
      <c r="G429" s="29">
        <v>1.31976744516653</v>
      </c>
      <c r="H429" s="30">
        <v>1.1990335250136499</v>
      </c>
    </row>
    <row r="430" spans="3:8">
      <c r="C430" s="31">
        <v>45258</v>
      </c>
      <c r="D430" s="11">
        <v>0.90537333787930496</v>
      </c>
      <c r="E430" s="11">
        <v>0.90537333787930496</v>
      </c>
      <c r="F430" s="16" t="s">
        <v>19</v>
      </c>
      <c r="G430" s="11">
        <v>1.31976744516653</v>
      </c>
      <c r="H430" s="11">
        <v>1.2852342810723001</v>
      </c>
    </row>
    <row r="431" spans="3:8">
      <c r="C431" s="31">
        <v>45257</v>
      </c>
      <c r="D431" s="11">
        <v>0.90537333787930496</v>
      </c>
      <c r="E431" s="11">
        <v>0.90537333787930496</v>
      </c>
      <c r="F431" s="16" t="s">
        <v>19</v>
      </c>
      <c r="G431" s="11">
        <v>1.35954916801333</v>
      </c>
      <c r="H431" s="11">
        <v>1.3119447757802201</v>
      </c>
    </row>
    <row r="432" spans="3:8">
      <c r="C432" s="31">
        <v>45254</v>
      </c>
      <c r="D432" s="11">
        <v>0.90537333787930496</v>
      </c>
      <c r="E432" s="11">
        <v>0.90537333787930496</v>
      </c>
      <c r="F432" s="16" t="s">
        <v>19</v>
      </c>
      <c r="G432" s="11">
        <v>1.3997088498475001</v>
      </c>
      <c r="H432" s="11">
        <v>1.3606520303481</v>
      </c>
    </row>
    <row r="433" spans="3:8">
      <c r="C433" s="31">
        <v>45253</v>
      </c>
      <c r="D433" s="11">
        <v>0.90537333787930496</v>
      </c>
      <c r="E433" s="11">
        <v>0.90537333787930496</v>
      </c>
      <c r="F433" s="16" t="s">
        <v>19</v>
      </c>
      <c r="G433" s="11">
        <v>1.4122604406622501</v>
      </c>
      <c r="H433" s="11">
        <v>1.37892801388663</v>
      </c>
    </row>
    <row r="434" spans="3:8">
      <c r="C434" s="31">
        <v>45252</v>
      </c>
      <c r="D434" s="11">
        <v>0.90537333787930496</v>
      </c>
      <c r="E434" s="11">
        <v>0.90537333787930496</v>
      </c>
      <c r="F434" s="16" t="s">
        <v>19</v>
      </c>
      <c r="G434" s="11">
        <v>1.3897684426178301</v>
      </c>
      <c r="H434" s="11">
        <v>1.35957390151799</v>
      </c>
    </row>
    <row r="435" spans="3:8">
      <c r="C435" s="31">
        <v>45251</v>
      </c>
      <c r="D435" s="11">
        <v>0.90537333787930496</v>
      </c>
      <c r="E435" s="11">
        <v>0.90537333787930496</v>
      </c>
      <c r="F435" s="16" t="s">
        <v>19</v>
      </c>
      <c r="G435" s="11">
        <v>1.3637885374354299</v>
      </c>
      <c r="H435" s="11">
        <v>1.35957390151799</v>
      </c>
    </row>
    <row r="436" spans="3:8">
      <c r="C436" s="31">
        <v>45250</v>
      </c>
      <c r="D436" s="11">
        <v>0.90537333787930496</v>
      </c>
      <c r="E436" s="11">
        <v>0.90537333787930496</v>
      </c>
      <c r="F436" s="16" t="s">
        <v>19</v>
      </c>
      <c r="G436" s="11">
        <v>1.41044503463626</v>
      </c>
      <c r="H436" s="11">
        <v>1.35957390151799</v>
      </c>
    </row>
    <row r="437" spans="3:8">
      <c r="C437" s="31">
        <v>45247</v>
      </c>
      <c r="D437" s="11">
        <v>0.90537333787930496</v>
      </c>
      <c r="E437" s="11">
        <v>0.90537333787930496</v>
      </c>
      <c r="F437" s="16" t="s">
        <v>19</v>
      </c>
      <c r="G437" s="11">
        <v>1.3911975925233599</v>
      </c>
      <c r="H437" s="11">
        <v>1.34367043489097</v>
      </c>
    </row>
    <row r="438" spans="3:8">
      <c r="C438" s="31">
        <v>45246</v>
      </c>
      <c r="D438" s="11">
        <v>0.90537333787930496</v>
      </c>
      <c r="E438" s="11">
        <v>0.90537333787930496</v>
      </c>
      <c r="F438" s="16" t="s">
        <v>19</v>
      </c>
      <c r="G438" s="11">
        <v>1.41474569883135</v>
      </c>
      <c r="H438" s="11">
        <v>1.3743831972806</v>
      </c>
    </row>
    <row r="439" spans="3:8">
      <c r="C439" s="31">
        <v>45245</v>
      </c>
      <c r="D439" s="11">
        <v>0.90537333787930496</v>
      </c>
      <c r="E439" s="11">
        <v>0.90537333787930496</v>
      </c>
      <c r="F439" s="16" t="s">
        <v>19</v>
      </c>
      <c r="G439" s="11">
        <v>1.4409112358434299</v>
      </c>
      <c r="H439" s="11">
        <v>1.38938878402543</v>
      </c>
    </row>
    <row r="440" spans="3:8">
      <c r="C440" s="31">
        <v>45244</v>
      </c>
      <c r="D440" s="11">
        <v>0.90537333787930496</v>
      </c>
      <c r="E440" s="11">
        <v>0.90537333787930496</v>
      </c>
      <c r="F440" s="16" t="s">
        <v>19</v>
      </c>
      <c r="G440" s="11">
        <v>1.4583091515765001</v>
      </c>
      <c r="H440" s="11">
        <v>1.41695497319387</v>
      </c>
    </row>
    <row r="441" spans="3:8">
      <c r="C441" s="31">
        <v>45243</v>
      </c>
      <c r="D441" s="11">
        <v>0.90537333787930496</v>
      </c>
      <c r="E441" s="11">
        <v>0.90537333787930496</v>
      </c>
      <c r="F441" s="16" t="s">
        <v>19</v>
      </c>
      <c r="G441" s="11">
        <v>1.45920252928321</v>
      </c>
      <c r="H441" s="11">
        <v>1.4085843970237999</v>
      </c>
    </row>
    <row r="442" spans="3:8">
      <c r="C442" s="31">
        <v>45240</v>
      </c>
      <c r="D442" s="11">
        <v>0.90537333787930496</v>
      </c>
      <c r="E442" s="11">
        <v>0.90537333787930496</v>
      </c>
      <c r="F442" s="16" t="s">
        <v>19</v>
      </c>
      <c r="G442" s="11">
        <v>1.42655879736006</v>
      </c>
      <c r="H442" s="11">
        <v>1.38959894402347</v>
      </c>
    </row>
    <row r="443" spans="3:8">
      <c r="C443" s="31">
        <v>45239</v>
      </c>
      <c r="D443" s="11">
        <v>0.90537333787930496</v>
      </c>
      <c r="E443" s="11">
        <v>0.90537333787930496</v>
      </c>
      <c r="F443" s="16" t="s">
        <v>19</v>
      </c>
      <c r="G443" s="11">
        <v>1.49526531909173</v>
      </c>
      <c r="H443" s="11">
        <v>1.3728510144927499</v>
      </c>
    </row>
    <row r="444" spans="3:8">
      <c r="C444" s="31">
        <v>45238</v>
      </c>
      <c r="D444" s="11">
        <v>0.90537333787930496</v>
      </c>
      <c r="E444" s="11">
        <v>0.90537333787930496</v>
      </c>
      <c r="F444" s="16" t="s">
        <v>19</v>
      </c>
      <c r="G444" s="11">
        <v>1.41575260869565</v>
      </c>
      <c r="H444" s="11">
        <v>1.3728510144927499</v>
      </c>
    </row>
    <row r="445" spans="3:8">
      <c r="C445" s="31">
        <v>45237</v>
      </c>
      <c r="D445" s="11">
        <v>0.90537333787930496</v>
      </c>
      <c r="E445" s="11">
        <v>0.90537333787930496</v>
      </c>
      <c r="F445" s="16" t="s">
        <v>19</v>
      </c>
      <c r="G445" s="11">
        <v>1.44338329049159</v>
      </c>
      <c r="H445" s="11">
        <v>1.37682396226647</v>
      </c>
    </row>
    <row r="446" spans="3:8">
      <c r="C446" s="31">
        <v>45236</v>
      </c>
      <c r="D446" s="11">
        <v>0.90537333787930496</v>
      </c>
      <c r="E446" s="11">
        <v>0.90537333787930496</v>
      </c>
      <c r="F446" s="16" t="s">
        <v>19</v>
      </c>
      <c r="G446" s="11">
        <v>1.40121222988733</v>
      </c>
      <c r="H446" s="11">
        <v>1.3638957115178101</v>
      </c>
    </row>
    <row r="447" spans="3:8">
      <c r="C447" s="31">
        <v>45233</v>
      </c>
      <c r="D447" s="11">
        <v>0.90537333787930496</v>
      </c>
      <c r="E447" s="11">
        <v>0.90537333787930496</v>
      </c>
      <c r="F447" s="16" t="s">
        <v>19</v>
      </c>
      <c r="G447" s="11">
        <v>1.5418816799089099</v>
      </c>
      <c r="H447" s="11">
        <v>1.43610585134031</v>
      </c>
    </row>
    <row r="448" spans="3:8">
      <c r="C448" s="31">
        <v>45232</v>
      </c>
      <c r="D448" s="11">
        <v>0.90537333787930496</v>
      </c>
      <c r="E448" s="11">
        <v>0.90537333787930496</v>
      </c>
      <c r="F448" s="16" t="s">
        <v>19</v>
      </c>
      <c r="G448" s="11">
        <v>1.51973515861396</v>
      </c>
      <c r="H448" s="11">
        <v>1.4718269668130799</v>
      </c>
    </row>
    <row r="449" spans="3:8">
      <c r="C449" s="31">
        <v>45231</v>
      </c>
      <c r="D449" s="11">
        <v>0.90537333787930496</v>
      </c>
      <c r="E449" s="11">
        <v>0.90537333787930496</v>
      </c>
      <c r="F449" s="16" t="s">
        <v>19</v>
      </c>
      <c r="G449" s="11">
        <v>1.5052853714841099</v>
      </c>
      <c r="H449" s="11">
        <v>1.4375687989794099</v>
      </c>
    </row>
    <row r="450" spans="3:8">
      <c r="C450" s="31">
        <v>45230</v>
      </c>
      <c r="D450" s="11">
        <v>0.90537333787930496</v>
      </c>
      <c r="E450" s="11">
        <v>0.90537333787930496</v>
      </c>
      <c r="F450" s="16" t="s">
        <v>19</v>
      </c>
      <c r="G450" s="11">
        <v>1.5056757312464299</v>
      </c>
      <c r="H450" s="11">
        <v>1.43501100484865</v>
      </c>
    </row>
    <row r="451" spans="3:8">
      <c r="C451" s="31">
        <v>45229</v>
      </c>
      <c r="D451" s="11">
        <v>0.90537333787930496</v>
      </c>
      <c r="E451" s="11">
        <v>0.90537333787930496</v>
      </c>
      <c r="F451" s="16" t="s">
        <v>19</v>
      </c>
      <c r="G451" s="11">
        <v>1.61257262450872</v>
      </c>
      <c r="H451" s="11">
        <v>1.55662271759366</v>
      </c>
    </row>
    <row r="452" spans="3:8">
      <c r="C452" s="31">
        <v>45226</v>
      </c>
      <c r="D452" s="11">
        <v>0.90537333787930496</v>
      </c>
      <c r="E452" s="11">
        <v>0.90537333787930496</v>
      </c>
      <c r="F452" s="16" t="s">
        <v>19</v>
      </c>
      <c r="G452" s="11">
        <v>1.64800446330081</v>
      </c>
      <c r="H452" s="11">
        <v>1.60348240984302</v>
      </c>
    </row>
    <row r="453" spans="3:8">
      <c r="C453" s="31">
        <v>45225</v>
      </c>
      <c r="D453" s="11">
        <v>0.90537333787930496</v>
      </c>
      <c r="E453" s="11">
        <v>0.90537333787930496</v>
      </c>
      <c r="F453" s="16" t="s">
        <v>19</v>
      </c>
      <c r="G453" s="11">
        <v>1.6435642875331999</v>
      </c>
      <c r="H453" s="11">
        <v>1.56019758085052</v>
      </c>
    </row>
    <row r="454" spans="3:8">
      <c r="C454" s="31">
        <v>45224</v>
      </c>
      <c r="D454" s="11">
        <v>0.90537333787930496</v>
      </c>
      <c r="E454" s="11">
        <v>0.90537333787930496</v>
      </c>
      <c r="F454" s="16" t="s">
        <v>19</v>
      </c>
      <c r="G454" s="11">
        <v>1.65509157282964</v>
      </c>
      <c r="H454" s="11">
        <v>1.57932347741857</v>
      </c>
    </row>
    <row r="455" spans="3:8">
      <c r="C455" s="31">
        <v>45223</v>
      </c>
      <c r="D455" s="11">
        <v>0.90537333787930496</v>
      </c>
      <c r="E455" s="11">
        <v>0.90537333787930496</v>
      </c>
      <c r="F455" s="16" t="s">
        <v>19</v>
      </c>
      <c r="G455" s="11">
        <v>1.6262146381499001</v>
      </c>
      <c r="H455" s="11">
        <v>1.5668436214191901</v>
      </c>
    </row>
    <row r="456" spans="3:8">
      <c r="C456" s="31">
        <v>45222</v>
      </c>
      <c r="D456" s="11">
        <v>0.90537333787930496</v>
      </c>
      <c r="E456" s="11">
        <v>0.90537333787930496</v>
      </c>
      <c r="F456" s="16" t="s">
        <v>19</v>
      </c>
      <c r="G456" s="11">
        <v>1.71239530411778</v>
      </c>
      <c r="H456" s="11">
        <v>1.6364834709437399</v>
      </c>
    </row>
    <row r="457" spans="3:8">
      <c r="C457" s="31">
        <v>45219</v>
      </c>
      <c r="D457" s="11">
        <v>0.90537333787930496</v>
      </c>
      <c r="E457" s="11">
        <v>0.90537333787930496</v>
      </c>
      <c r="F457" s="16" t="s">
        <v>19</v>
      </c>
      <c r="G457" s="11">
        <v>1.70788447535781</v>
      </c>
      <c r="H457" s="11">
        <v>1.6364834709437399</v>
      </c>
    </row>
    <row r="458" spans="3:8">
      <c r="C458" s="31">
        <v>45218</v>
      </c>
      <c r="D458" s="11">
        <v>0.90537333787930496</v>
      </c>
      <c r="E458" s="11">
        <v>0.90537333787930496</v>
      </c>
      <c r="F458" s="16" t="s">
        <v>19</v>
      </c>
      <c r="G458" s="11">
        <v>1.70970913274723</v>
      </c>
      <c r="H458" s="11">
        <v>1.6596632662230399</v>
      </c>
    </row>
    <row r="459" spans="3:8">
      <c r="C459" s="31">
        <v>45217</v>
      </c>
      <c r="D459" s="11">
        <v>0.90537333787930496</v>
      </c>
      <c r="E459" s="11">
        <v>0.90537333787930496</v>
      </c>
      <c r="F459" s="16" t="s">
        <v>19</v>
      </c>
      <c r="G459" s="11">
        <v>1.6786393119020999</v>
      </c>
      <c r="H459" s="11">
        <v>1.6224042611567</v>
      </c>
    </row>
    <row r="460" spans="3:8">
      <c r="C460" s="31">
        <v>45216</v>
      </c>
      <c r="D460" s="11">
        <v>0.90537333787930496</v>
      </c>
      <c r="E460" s="11">
        <v>0.90537333787930496</v>
      </c>
      <c r="F460" s="16" t="s">
        <v>19</v>
      </c>
      <c r="G460" s="11">
        <v>1.6518439651707999</v>
      </c>
      <c r="H460" s="11">
        <v>1.6025558156244299</v>
      </c>
    </row>
    <row r="461" spans="3:8">
      <c r="C461" s="31">
        <v>45215</v>
      </c>
      <c r="D461" s="11">
        <v>0.90537333787930496</v>
      </c>
      <c r="E461" s="11">
        <v>0.90537333787930496</v>
      </c>
      <c r="F461" s="16" t="s">
        <v>19</v>
      </c>
      <c r="G461" s="11">
        <v>1.6335039946249701</v>
      </c>
      <c r="H461" s="11">
        <v>1.57322239799658</v>
      </c>
    </row>
    <row r="462" spans="3:8">
      <c r="C462" s="31">
        <v>45212</v>
      </c>
      <c r="D462" s="11">
        <v>0.90537333787930496</v>
      </c>
      <c r="E462" s="11">
        <v>0.90537333787930496</v>
      </c>
      <c r="F462" s="16" t="s">
        <v>19</v>
      </c>
      <c r="G462" s="11">
        <v>1.69006785475173</v>
      </c>
      <c r="H462" s="11">
        <v>1.6704405494985799</v>
      </c>
    </row>
    <row r="463" spans="3:8">
      <c r="C463" s="31">
        <v>45211</v>
      </c>
      <c r="D463" s="11">
        <v>0.90537333787930496</v>
      </c>
      <c r="E463" s="11">
        <v>0.90537333787930496</v>
      </c>
      <c r="F463" s="16" t="s">
        <v>19</v>
      </c>
      <c r="G463" s="11">
        <v>1.69006785475173</v>
      </c>
      <c r="H463" s="11">
        <v>1.62692449573336</v>
      </c>
    </row>
    <row r="464" spans="3:8">
      <c r="C464" s="31">
        <v>45210</v>
      </c>
      <c r="D464" s="11">
        <v>0.90537333787930496</v>
      </c>
      <c r="E464" s="11">
        <v>0.90537333787930496</v>
      </c>
      <c r="F464" s="16" t="s">
        <v>19</v>
      </c>
      <c r="G464" s="11">
        <v>1.5536987381198599</v>
      </c>
      <c r="H464" s="11">
        <v>1.49653227212291</v>
      </c>
    </row>
    <row r="465" spans="3:8">
      <c r="C465" s="31">
        <v>45209</v>
      </c>
      <c r="D465" s="11">
        <v>0.90537333787930496</v>
      </c>
      <c r="E465" s="11">
        <v>0.90537333787930496</v>
      </c>
      <c r="F465" s="16" t="s">
        <v>19</v>
      </c>
      <c r="G465" s="11">
        <v>1.60633345454545</v>
      </c>
      <c r="H465" s="11">
        <v>1.54272431818182</v>
      </c>
    </row>
    <row r="466" spans="3:8">
      <c r="C466" s="31">
        <v>45208</v>
      </c>
      <c r="D466" s="11">
        <v>0.90537333787930496</v>
      </c>
      <c r="E466" s="11">
        <v>0.90537333787930496</v>
      </c>
      <c r="F466" s="16" t="s">
        <v>19</v>
      </c>
      <c r="G466" s="11">
        <v>1.47526757213127</v>
      </c>
      <c r="H466" s="11">
        <v>1.4084415877444101</v>
      </c>
    </row>
    <row r="467" spans="3:8">
      <c r="C467" s="31">
        <v>45205</v>
      </c>
      <c r="D467" s="11">
        <v>0.90537333787930496</v>
      </c>
      <c r="E467" s="11">
        <v>0.90537333787930496</v>
      </c>
      <c r="F467" s="16" t="s">
        <v>19</v>
      </c>
      <c r="G467" s="11">
        <v>1.37511690918214</v>
      </c>
      <c r="H467" s="11">
        <v>1.3109563472152499</v>
      </c>
    </row>
    <row r="468" spans="3:8">
      <c r="C468" s="31">
        <v>45204</v>
      </c>
      <c r="D468" s="11">
        <v>0.90537333787930496</v>
      </c>
      <c r="E468" s="11">
        <v>0.90537333787930496</v>
      </c>
      <c r="F468" s="16" t="s">
        <v>19</v>
      </c>
      <c r="G468" s="11">
        <v>1.33850782602336</v>
      </c>
      <c r="H468" s="11">
        <v>1.2967878013994201</v>
      </c>
    </row>
    <row r="469" spans="3:8">
      <c r="C469" s="31">
        <v>45203</v>
      </c>
      <c r="D469" s="11">
        <v>0.90537333787930496</v>
      </c>
      <c r="E469" s="11">
        <v>0.90537333787930496</v>
      </c>
      <c r="F469" s="16" t="s">
        <v>19</v>
      </c>
      <c r="G469" s="11">
        <v>1.3728425291677799</v>
      </c>
      <c r="H469" s="11">
        <v>1.2836548794918901</v>
      </c>
    </row>
    <row r="470" spans="3:8">
      <c r="C470" s="31">
        <v>45202</v>
      </c>
      <c r="D470" s="11">
        <v>0.90537333787930496</v>
      </c>
      <c r="E470" s="11">
        <v>0.90537333787930496</v>
      </c>
      <c r="F470" s="16" t="s">
        <v>19</v>
      </c>
      <c r="G470" s="11">
        <v>1.3416933877511601</v>
      </c>
      <c r="H470" s="11">
        <v>1.2836548794918901</v>
      </c>
    </row>
    <row r="471" spans="3:8">
      <c r="C471" s="31">
        <v>45201</v>
      </c>
      <c r="D471" s="11">
        <v>0.90537333787930496</v>
      </c>
      <c r="E471" s="11">
        <v>0.90537333787930496</v>
      </c>
      <c r="F471" s="16" t="s">
        <v>19</v>
      </c>
      <c r="G471" s="11">
        <v>1.39792162436548</v>
      </c>
      <c r="H471" s="11">
        <v>1.33400740633309</v>
      </c>
    </row>
    <row r="472" spans="3:8">
      <c r="C472" s="31">
        <v>45198</v>
      </c>
      <c r="D472" s="11">
        <v>0.90537333787930496</v>
      </c>
      <c r="E472" s="11">
        <v>0.90537333787930496</v>
      </c>
      <c r="F472" s="16" t="s">
        <v>19</v>
      </c>
      <c r="G472" s="11">
        <v>1.4635254137851099</v>
      </c>
      <c r="H472" s="11">
        <v>1.41436813031334</v>
      </c>
    </row>
    <row r="473" spans="3:8">
      <c r="C473" s="31">
        <v>45197</v>
      </c>
      <c r="D473" s="11">
        <v>0.90537333787930496</v>
      </c>
      <c r="E473" s="11">
        <v>0.90537333787930496</v>
      </c>
      <c r="F473" s="16" t="s">
        <v>19</v>
      </c>
      <c r="G473" s="11">
        <v>1.4729832707246799</v>
      </c>
      <c r="H473" s="11">
        <v>1.4040658031151301</v>
      </c>
    </row>
    <row r="474" spans="3:8">
      <c r="C474" s="31">
        <v>45196</v>
      </c>
      <c r="D474" s="11">
        <v>0.90537333787930496</v>
      </c>
      <c r="E474" s="11">
        <v>0.90537333787930496</v>
      </c>
      <c r="F474" s="16" t="s">
        <v>19</v>
      </c>
      <c r="G474" s="11">
        <v>1.4729832707246799</v>
      </c>
      <c r="H474" s="11">
        <v>1.4234910560227201</v>
      </c>
    </row>
    <row r="475" spans="3:8">
      <c r="C475" s="31">
        <v>45195</v>
      </c>
      <c r="D475" s="11">
        <v>0.90537333787930496</v>
      </c>
      <c r="E475" s="11">
        <v>0.90537333787930496</v>
      </c>
      <c r="F475" s="16" t="s">
        <v>19</v>
      </c>
      <c r="G475" s="11">
        <v>1.4729832707246799</v>
      </c>
      <c r="H475" s="11">
        <v>1.4269777028094901</v>
      </c>
    </row>
    <row r="476" spans="3:8">
      <c r="C476" s="31">
        <v>45194</v>
      </c>
      <c r="D476" s="11">
        <v>0.90537333787930496</v>
      </c>
      <c r="E476" s="11">
        <v>0.90537333787930496</v>
      </c>
      <c r="F476" s="16" t="s">
        <v>19</v>
      </c>
      <c r="G476" s="11">
        <v>1.5506590209175399</v>
      </c>
      <c r="H476" s="11">
        <v>1.4810131220006599</v>
      </c>
    </row>
    <row r="477" spans="3:8">
      <c r="C477" s="31">
        <v>45191</v>
      </c>
      <c r="D477" s="11">
        <v>0.90537333787930496</v>
      </c>
      <c r="E477" s="11">
        <v>0.90537333787930496</v>
      </c>
      <c r="F477" s="16" t="s">
        <v>19</v>
      </c>
      <c r="G477" s="11">
        <v>1.52962809589661</v>
      </c>
      <c r="H477" s="11">
        <v>1.4710348610380199</v>
      </c>
    </row>
    <row r="478" spans="3:8">
      <c r="C478" s="31">
        <v>45190</v>
      </c>
      <c r="D478" s="11">
        <v>0.90537333787930496</v>
      </c>
      <c r="E478" s="11">
        <v>0.90537333787930496</v>
      </c>
      <c r="F478" s="16" t="s">
        <v>19</v>
      </c>
      <c r="G478" s="11">
        <v>1.51812636587165</v>
      </c>
      <c r="H478" s="11">
        <v>1.4658726432259701</v>
      </c>
    </row>
    <row r="479" spans="3:8">
      <c r="C479" s="31">
        <v>45189</v>
      </c>
      <c r="D479" s="11">
        <v>0.90537333787930496</v>
      </c>
      <c r="E479" s="11">
        <v>0.90537333787930496</v>
      </c>
      <c r="F479" s="16" t="s">
        <v>19</v>
      </c>
      <c r="G479" s="11">
        <v>1.51650222192048</v>
      </c>
      <c r="H479" s="11">
        <v>1.48257055708484</v>
      </c>
    </row>
    <row r="480" spans="3:8">
      <c r="C480" s="31">
        <v>45188</v>
      </c>
      <c r="D480" s="11">
        <v>0.90537333787930496</v>
      </c>
      <c r="E480" s="11">
        <v>0.90537333787930496</v>
      </c>
      <c r="F480" s="16" t="s">
        <v>19</v>
      </c>
      <c r="G480" s="11">
        <v>1.5658958567711601</v>
      </c>
      <c r="H480" s="11">
        <v>1.50578513690992</v>
      </c>
    </row>
    <row r="481" spans="3:8">
      <c r="C481" s="31">
        <v>45187</v>
      </c>
      <c r="D481" s="11">
        <v>0.90537333787930496</v>
      </c>
      <c r="E481" s="11">
        <v>0.90537333787930496</v>
      </c>
      <c r="F481" s="16" t="s">
        <v>19</v>
      </c>
      <c r="G481" s="11">
        <v>1.5346050184492701</v>
      </c>
      <c r="H481" s="11">
        <v>1.49186449072584</v>
      </c>
    </row>
    <row r="482" spans="3:8">
      <c r="C482" s="31">
        <v>45184</v>
      </c>
      <c r="D482" s="11">
        <v>0.90537333787930496</v>
      </c>
      <c r="E482" s="11">
        <v>0.90537333787930496</v>
      </c>
      <c r="F482" s="16" t="s">
        <v>19</v>
      </c>
      <c r="G482" s="11">
        <v>1.58132834471053</v>
      </c>
      <c r="H482" s="11">
        <v>1.51795893677912</v>
      </c>
    </row>
    <row r="483" spans="3:8">
      <c r="C483" s="31">
        <v>45183</v>
      </c>
      <c r="D483" s="11">
        <v>0.90537333787930496</v>
      </c>
      <c r="E483" s="11">
        <v>0.90537333787930496</v>
      </c>
      <c r="F483" s="16" t="s">
        <v>19</v>
      </c>
      <c r="G483" s="11">
        <v>1.57079519029124</v>
      </c>
      <c r="H483" s="11">
        <v>1.53546104458535</v>
      </c>
    </row>
    <row r="484" spans="3:8">
      <c r="C484" s="31">
        <v>45182</v>
      </c>
      <c r="D484" s="11">
        <v>0.90537333787930496</v>
      </c>
      <c r="E484" s="11">
        <v>0.90537333787930496</v>
      </c>
      <c r="F484" s="16" t="s">
        <v>19</v>
      </c>
      <c r="G484" s="11">
        <v>1.61943275597238</v>
      </c>
      <c r="H484" s="11">
        <v>1.5523832111592599</v>
      </c>
    </row>
    <row r="485" spans="3:8">
      <c r="C485" s="31">
        <v>45181</v>
      </c>
      <c r="D485" s="11">
        <v>0.90537333787930496</v>
      </c>
      <c r="E485" s="11">
        <v>0.90537333787930496</v>
      </c>
      <c r="F485" s="16" t="s">
        <v>19</v>
      </c>
      <c r="G485" s="11">
        <v>1.55015805400547</v>
      </c>
      <c r="H485" s="11">
        <v>1.5107974382981899</v>
      </c>
    </row>
    <row r="486" spans="3:8">
      <c r="C486" s="31">
        <v>45180</v>
      </c>
      <c r="D486" s="11">
        <v>0.90537333787930496</v>
      </c>
      <c r="E486" s="11">
        <v>0.90537333787930496</v>
      </c>
      <c r="F486" s="16" t="s">
        <v>19</v>
      </c>
      <c r="G486" s="11">
        <v>1.58656890245428</v>
      </c>
      <c r="H486" s="11">
        <v>1.52092740737034</v>
      </c>
    </row>
    <row r="487" spans="3:8">
      <c r="C487" s="31">
        <v>45177</v>
      </c>
      <c r="D487" s="11">
        <v>0.90537333787930496</v>
      </c>
      <c r="E487" s="11">
        <v>0.90537333787930496</v>
      </c>
      <c r="F487" s="16" t="s">
        <v>19</v>
      </c>
      <c r="G487" s="11">
        <v>1.57283090949882</v>
      </c>
      <c r="H487" s="11">
        <v>1.4838269235083701</v>
      </c>
    </row>
    <row r="488" spans="3:8">
      <c r="C488" s="31">
        <v>45176</v>
      </c>
      <c r="D488" s="11">
        <v>0.90537333787930496</v>
      </c>
      <c r="E488" s="11">
        <v>0.90537333787930496</v>
      </c>
      <c r="F488" s="16" t="s">
        <v>19</v>
      </c>
      <c r="G488" s="11">
        <v>1.5729195165454699</v>
      </c>
      <c r="H488" s="11">
        <v>1.50984884811595</v>
      </c>
    </row>
    <row r="489" spans="3:8">
      <c r="C489" s="31">
        <v>45175</v>
      </c>
      <c r="D489" s="11">
        <v>0.90537333787930496</v>
      </c>
      <c r="E489" s="11">
        <v>0.90537333787930496</v>
      </c>
      <c r="F489" s="16" t="s">
        <v>19</v>
      </c>
      <c r="G489" s="11">
        <v>1.54858734993998</v>
      </c>
      <c r="H489" s="11">
        <v>1.48633609693878</v>
      </c>
    </row>
    <row r="490" spans="3:8">
      <c r="C490" s="31">
        <v>45174</v>
      </c>
      <c r="D490" s="11">
        <v>0.90537333787930496</v>
      </c>
      <c r="E490" s="11">
        <v>0.90537333787930496</v>
      </c>
      <c r="F490" s="16" t="s">
        <v>19</v>
      </c>
      <c r="G490" s="11">
        <v>1.6296778904257601</v>
      </c>
      <c r="H490" s="11">
        <v>1.51442591849356</v>
      </c>
    </row>
    <row r="491" spans="3:8">
      <c r="C491" s="31">
        <v>45173</v>
      </c>
      <c r="D491" s="11">
        <v>0.90537333787930496</v>
      </c>
      <c r="E491" s="11">
        <v>0.90537333787930496</v>
      </c>
      <c r="F491" s="16" t="s">
        <v>19</v>
      </c>
      <c r="G491" s="11">
        <v>1.60165273560259</v>
      </c>
      <c r="H491" s="11">
        <v>1.51442591849356</v>
      </c>
    </row>
    <row r="492" spans="3:8">
      <c r="C492" s="31">
        <v>45170</v>
      </c>
      <c r="D492" s="11">
        <v>0.90537333787930496</v>
      </c>
      <c r="E492" s="11">
        <v>0.90537333787930496</v>
      </c>
      <c r="F492" s="16" t="s">
        <v>19</v>
      </c>
      <c r="G492" s="11">
        <v>1.65187626666331</v>
      </c>
      <c r="H492" s="11">
        <v>1.5714850329175101</v>
      </c>
    </row>
    <row r="493" spans="3:8">
      <c r="C493" s="31">
        <v>45169</v>
      </c>
      <c r="D493" s="11">
        <v>0.90537333787930496</v>
      </c>
      <c r="E493" s="11">
        <v>0.90537333787930496</v>
      </c>
      <c r="F493" s="16" t="s">
        <v>19</v>
      </c>
      <c r="G493" s="11">
        <v>1.6123763192578699</v>
      </c>
      <c r="H493" s="11">
        <v>1.5615256197090299</v>
      </c>
    </row>
    <row r="494" spans="3:8">
      <c r="C494" s="31">
        <v>45168</v>
      </c>
      <c r="D494" s="11">
        <v>0.90537333787930496</v>
      </c>
      <c r="E494" s="11">
        <v>0.90537333787930496</v>
      </c>
      <c r="F494" s="16" t="s">
        <v>19</v>
      </c>
      <c r="G494" s="11">
        <v>1.6455183558229201</v>
      </c>
      <c r="H494" s="11">
        <v>1.56624972828147</v>
      </c>
    </row>
    <row r="495" spans="3:8">
      <c r="C495" s="31">
        <v>45167</v>
      </c>
      <c r="D495" s="11">
        <v>0.90537333787930496</v>
      </c>
      <c r="E495" s="11">
        <v>0.90537333787930496</v>
      </c>
      <c r="F495" s="16" t="s">
        <v>19</v>
      </c>
      <c r="G495" s="11">
        <v>1.6294574324495099</v>
      </c>
      <c r="H495" s="11">
        <v>1.56624972828147</v>
      </c>
    </row>
    <row r="496" spans="3:8">
      <c r="C496" s="31">
        <v>45166</v>
      </c>
      <c r="D496" s="11">
        <v>0.90537333787930496</v>
      </c>
      <c r="E496" s="11">
        <v>0.90537333787930496</v>
      </c>
      <c r="F496" s="16" t="s">
        <v>19</v>
      </c>
      <c r="G496" s="11">
        <v>1.60451056973966</v>
      </c>
      <c r="H496" s="11">
        <v>1.5225265777889601</v>
      </c>
    </row>
    <row r="497" spans="3:8">
      <c r="C497" s="31">
        <v>45163</v>
      </c>
      <c r="D497" s="11">
        <v>0.90537333787930496</v>
      </c>
      <c r="E497" s="11">
        <v>0.90537333787930496</v>
      </c>
      <c r="F497" s="16" t="s">
        <v>19</v>
      </c>
      <c r="G497" s="11">
        <v>1.60451056973966</v>
      </c>
      <c r="H497" s="11">
        <v>1.5225265777889601</v>
      </c>
    </row>
    <row r="498" spans="3:8">
      <c r="C498" s="31">
        <v>45162</v>
      </c>
      <c r="D498" s="11">
        <v>0.90537333787930496</v>
      </c>
      <c r="E498" s="11">
        <v>0.90537333787930496</v>
      </c>
      <c r="F498" s="16" t="s">
        <v>19</v>
      </c>
      <c r="G498" s="11">
        <v>1.55549593050358</v>
      </c>
      <c r="H498" s="11">
        <v>1.48789101183052</v>
      </c>
    </row>
    <row r="499" spans="3:8">
      <c r="C499" s="31">
        <v>45161</v>
      </c>
      <c r="D499" s="11">
        <v>0.90537333787930496</v>
      </c>
      <c r="E499" s="11">
        <v>0.90537333787930496</v>
      </c>
      <c r="F499" s="16" t="s">
        <v>19</v>
      </c>
      <c r="G499" s="11">
        <v>1.7462789393804099</v>
      </c>
      <c r="H499" s="11">
        <v>1.6070835337685601</v>
      </c>
    </row>
    <row r="500" spans="3:8">
      <c r="C500" s="31">
        <v>45160</v>
      </c>
      <c r="D500" s="11">
        <v>0.90537333787930496</v>
      </c>
      <c r="E500" s="11">
        <v>0.90537333787930496</v>
      </c>
      <c r="F500" s="16" t="s">
        <v>19</v>
      </c>
      <c r="G500" s="11">
        <v>1.7462789393804099</v>
      </c>
      <c r="H500" s="11">
        <v>1.6932569639106401</v>
      </c>
    </row>
    <row r="501" spans="3:8">
      <c r="C501" s="31">
        <v>45159</v>
      </c>
      <c r="D501" s="11">
        <v>0.90537333787930496</v>
      </c>
      <c r="E501" s="11">
        <v>0.90537333787930496</v>
      </c>
      <c r="F501" s="16" t="s">
        <v>19</v>
      </c>
      <c r="G501" s="11">
        <v>1.7462789393804099</v>
      </c>
      <c r="H501" s="11">
        <v>1.65317997500223</v>
      </c>
    </row>
    <row r="502" spans="3:8">
      <c r="C502" s="31">
        <v>45156</v>
      </c>
      <c r="D502" s="11">
        <v>0.90537333787930496</v>
      </c>
      <c r="E502" s="11">
        <v>0.90537333787930496</v>
      </c>
      <c r="F502" s="16" t="s">
        <v>19</v>
      </c>
      <c r="G502" s="11">
        <v>1.71424175291197</v>
      </c>
      <c r="H502" s="11">
        <v>1.63726431926676</v>
      </c>
    </row>
    <row r="503" spans="3:8">
      <c r="C503" s="31">
        <v>45155</v>
      </c>
      <c r="D503" s="11">
        <v>0.90537333787930496</v>
      </c>
      <c r="E503" s="11">
        <v>0.90537333787930496</v>
      </c>
      <c r="F503" s="16" t="s">
        <v>19</v>
      </c>
      <c r="G503" s="11">
        <v>1.7045366317452999</v>
      </c>
      <c r="H503" s="11">
        <v>1.60707905005536</v>
      </c>
    </row>
    <row r="504" spans="3:8">
      <c r="C504" s="31">
        <v>45154</v>
      </c>
      <c r="D504" s="11">
        <v>0.90537333787930496</v>
      </c>
      <c r="E504" s="11">
        <v>0.90537333787930496</v>
      </c>
      <c r="F504" s="16" t="s">
        <v>19</v>
      </c>
      <c r="G504" s="11">
        <v>1.6866663892176701</v>
      </c>
      <c r="H504" s="11">
        <v>1.60707905005536</v>
      </c>
    </row>
    <row r="505" spans="3:8">
      <c r="C505" s="31">
        <v>45153</v>
      </c>
      <c r="D505" s="11">
        <v>0.90537333787930496</v>
      </c>
      <c r="E505" s="11">
        <v>0.90537333787930496</v>
      </c>
      <c r="F505" s="16" t="s">
        <v>19</v>
      </c>
      <c r="G505" s="11">
        <v>1.7023749612560699</v>
      </c>
      <c r="H505" s="11">
        <v>1.64424281141231</v>
      </c>
    </row>
    <row r="506" spans="3:8">
      <c r="C506" s="31">
        <v>45152</v>
      </c>
      <c r="D506" s="11">
        <v>0.90537333787930496</v>
      </c>
      <c r="E506" s="11">
        <v>0.90537333787930496</v>
      </c>
      <c r="F506" s="16" t="s">
        <v>19</v>
      </c>
      <c r="G506" s="11">
        <v>1.60755885575167</v>
      </c>
      <c r="H506" s="11">
        <v>1.5201106309596299</v>
      </c>
    </row>
    <row r="507" spans="3:8">
      <c r="C507" s="31">
        <v>45149</v>
      </c>
      <c r="D507" s="11">
        <v>0.90537333787930496</v>
      </c>
      <c r="E507" s="11">
        <v>0.90537333787930496</v>
      </c>
      <c r="F507" s="16" t="s">
        <v>19</v>
      </c>
      <c r="G507" s="11">
        <v>1.6089071099432599</v>
      </c>
      <c r="H507" s="11">
        <v>1.5288735214593101</v>
      </c>
    </row>
    <row r="508" spans="3:8">
      <c r="C508" s="31">
        <v>45148</v>
      </c>
      <c r="D508" s="11">
        <v>0.90537333787930496</v>
      </c>
      <c r="E508" s="11">
        <v>0.90537333787930496</v>
      </c>
      <c r="F508" s="16" t="s">
        <v>19</v>
      </c>
      <c r="G508" s="11">
        <v>1.59919097027695</v>
      </c>
      <c r="H508" s="11">
        <v>1.5108729589961301</v>
      </c>
    </row>
    <row r="509" spans="3:8">
      <c r="C509" s="31">
        <v>45147</v>
      </c>
      <c r="D509" s="11">
        <v>0.90537333787930496</v>
      </c>
      <c r="E509" s="11">
        <v>0.90537333787930496</v>
      </c>
      <c r="F509" s="16" t="s">
        <v>19</v>
      </c>
      <c r="G509" s="11">
        <v>1.5167937637040401</v>
      </c>
      <c r="H509" s="11">
        <v>1.53675163998016</v>
      </c>
    </row>
    <row r="510" spans="3:8">
      <c r="C510" s="31">
        <v>45146</v>
      </c>
      <c r="D510" s="11">
        <v>0.90537333787930496</v>
      </c>
      <c r="E510" s="11">
        <v>0.90537333787930496</v>
      </c>
      <c r="F510" s="16" t="s">
        <v>19</v>
      </c>
      <c r="G510" s="11">
        <v>1.5167937637040401</v>
      </c>
      <c r="H510" s="11">
        <v>1.45266191347669</v>
      </c>
    </row>
    <row r="511" spans="3:8">
      <c r="C511" s="31">
        <v>45145</v>
      </c>
      <c r="D511" s="11">
        <v>0.90537333787930496</v>
      </c>
      <c r="E511" s="11">
        <v>0.90537333787930496</v>
      </c>
      <c r="F511" s="16" t="s">
        <v>19</v>
      </c>
      <c r="G511" s="11">
        <v>1.5167937637040401</v>
      </c>
      <c r="H511" s="11">
        <v>1.45266191347669</v>
      </c>
    </row>
    <row r="512" spans="3:8">
      <c r="C512" s="31">
        <v>45142</v>
      </c>
      <c r="D512" s="11">
        <v>0.90537333787930496</v>
      </c>
      <c r="E512" s="11">
        <v>0.90537333787930496</v>
      </c>
      <c r="F512" s="16" t="s">
        <v>19</v>
      </c>
      <c r="G512" s="11">
        <v>1.5167937637040401</v>
      </c>
      <c r="H512" s="11">
        <v>1.45266191347669</v>
      </c>
    </row>
    <row r="513" spans="3:8">
      <c r="C513" s="31">
        <v>45141</v>
      </c>
      <c r="D513" s="11">
        <v>0.90537333787930496</v>
      </c>
      <c r="E513" s="11">
        <v>0.90537333787930496</v>
      </c>
      <c r="F513" s="16" t="s">
        <v>19</v>
      </c>
      <c r="G513" s="11">
        <v>1.5130261250953501</v>
      </c>
      <c r="H513" s="11">
        <v>1.45266191347669</v>
      </c>
    </row>
    <row r="514" spans="3:8">
      <c r="C514" s="31">
        <v>45140</v>
      </c>
      <c r="D514" s="11">
        <v>0.90537333787930496</v>
      </c>
      <c r="E514" s="11">
        <v>0.90537333787930496</v>
      </c>
      <c r="F514" s="16" t="s">
        <v>19</v>
      </c>
      <c r="G514" s="11">
        <v>1.5034469739718399</v>
      </c>
      <c r="H514" s="11">
        <v>1.45266191347669</v>
      </c>
    </row>
    <row r="515" spans="3:8">
      <c r="C515" s="31">
        <v>45139</v>
      </c>
      <c r="D515" s="11">
        <v>0.90537333787930496</v>
      </c>
      <c r="E515" s="11">
        <v>0.90537333787930496</v>
      </c>
      <c r="F515" s="16" t="s">
        <v>19</v>
      </c>
      <c r="G515" s="11">
        <v>1.5852079910141199</v>
      </c>
      <c r="H515" s="11">
        <v>1.54104184457728</v>
      </c>
    </row>
    <row r="516" spans="3:8">
      <c r="C516" s="31">
        <v>45138</v>
      </c>
      <c r="D516" s="11">
        <v>0.90537333787930496</v>
      </c>
      <c r="E516" s="11">
        <v>0.90537333787930496</v>
      </c>
      <c r="F516" s="16" t="s">
        <v>19</v>
      </c>
      <c r="G516" s="11">
        <v>1.5852079910141199</v>
      </c>
      <c r="H516" s="11">
        <v>1.54104184457728</v>
      </c>
    </row>
    <row r="517" spans="3:8">
      <c r="C517" s="31">
        <v>45135</v>
      </c>
      <c r="D517" s="11">
        <v>0.90537333787930496</v>
      </c>
      <c r="E517" s="11">
        <v>0.90537333787930496</v>
      </c>
      <c r="F517" s="16" t="s">
        <v>19</v>
      </c>
      <c r="G517" s="11">
        <v>1.5906587221488999</v>
      </c>
      <c r="H517" s="11">
        <v>1.54104184457728</v>
      </c>
    </row>
    <row r="518" spans="3:8">
      <c r="C518" s="31">
        <v>45134</v>
      </c>
      <c r="D518" s="11">
        <v>0.90537333787930496</v>
      </c>
      <c r="E518" s="11">
        <v>0.90537333787930496</v>
      </c>
      <c r="F518" s="16" t="s">
        <v>19</v>
      </c>
      <c r="G518" s="11">
        <v>1.5906587221488999</v>
      </c>
      <c r="H518" s="11">
        <v>1.54104184457728</v>
      </c>
    </row>
    <row r="519" spans="3:8">
      <c r="C519" s="31">
        <v>45133</v>
      </c>
      <c r="D519" s="11">
        <v>0.90537333787930496</v>
      </c>
      <c r="E519" s="11">
        <v>0.90537333787930496</v>
      </c>
      <c r="F519" s="16" t="s">
        <v>19</v>
      </c>
      <c r="G519" s="11">
        <v>1.5906587221488999</v>
      </c>
      <c r="H519" s="11">
        <v>1.54104184457728</v>
      </c>
    </row>
    <row r="520" spans="3:8">
      <c r="C520" s="31">
        <v>45132</v>
      </c>
      <c r="D520" s="11">
        <v>0.90537333787930496</v>
      </c>
      <c r="E520" s="11">
        <v>0.90537333787930496</v>
      </c>
      <c r="F520" s="16" t="s">
        <v>19</v>
      </c>
      <c r="G520" s="11">
        <v>1.6064398195164</v>
      </c>
      <c r="H520" s="11">
        <v>1.61796101471897</v>
      </c>
    </row>
    <row r="521" spans="3:8">
      <c r="C521" s="31">
        <v>45131</v>
      </c>
      <c r="D521" s="11">
        <v>0.90537333787930496</v>
      </c>
      <c r="E521" s="11">
        <v>0.90537333787930496</v>
      </c>
      <c r="F521" s="16" t="s">
        <v>19</v>
      </c>
      <c r="G521" s="11">
        <v>1.6064398195164</v>
      </c>
      <c r="H521" s="11">
        <v>1.4749652436026801</v>
      </c>
    </row>
    <row r="522" spans="3:8">
      <c r="C522" s="31">
        <v>45128</v>
      </c>
      <c r="D522" s="11">
        <v>0.90537333787930496</v>
      </c>
      <c r="E522" s="11">
        <v>0.90537333787930496</v>
      </c>
      <c r="F522" s="16" t="s">
        <v>19</v>
      </c>
      <c r="G522" s="11">
        <v>1.6064398195164</v>
      </c>
      <c r="H522" s="11">
        <v>1.4749652436026801</v>
      </c>
    </row>
    <row r="523" spans="3:8">
      <c r="C523" s="31">
        <v>45127</v>
      </c>
      <c r="D523" s="11">
        <v>0.90537333787930496</v>
      </c>
      <c r="E523" s="11">
        <v>0.90537333787930496</v>
      </c>
      <c r="F523" s="16" t="s">
        <v>19</v>
      </c>
      <c r="G523" s="11">
        <v>1.53385245669757</v>
      </c>
      <c r="H523" s="11">
        <v>1.4749652436026801</v>
      </c>
    </row>
    <row r="524" spans="3:8">
      <c r="C524" s="31">
        <v>45126</v>
      </c>
      <c r="D524" s="11">
        <v>0.90537333787930496</v>
      </c>
      <c r="E524" s="11">
        <v>0.90537333787930496</v>
      </c>
      <c r="F524" s="16" t="s">
        <v>19</v>
      </c>
      <c r="G524" s="11">
        <v>1.53385245669757</v>
      </c>
      <c r="H524" s="11">
        <v>1.4749652436026801</v>
      </c>
    </row>
    <row r="525" spans="3:8">
      <c r="C525" s="31">
        <v>45125</v>
      </c>
      <c r="D525" s="11">
        <v>0.90537333787930496</v>
      </c>
      <c r="E525" s="11">
        <v>0.90537333787930496</v>
      </c>
      <c r="F525" s="16" t="s">
        <v>19</v>
      </c>
      <c r="G525" s="11">
        <v>1.53385245669757</v>
      </c>
      <c r="H525" s="11">
        <v>1.41658404679433</v>
      </c>
    </row>
    <row r="526" spans="3:8">
      <c r="C526" s="31">
        <v>45124</v>
      </c>
      <c r="D526" s="11">
        <v>0.90537333787930496</v>
      </c>
      <c r="E526" s="11">
        <v>0.90537333787930496</v>
      </c>
      <c r="F526" s="16" t="s">
        <v>19</v>
      </c>
      <c r="G526" s="11">
        <v>1.53385245669757</v>
      </c>
      <c r="H526" s="11">
        <v>1.41658404679433</v>
      </c>
    </row>
    <row r="527" spans="3:8">
      <c r="C527" s="31">
        <v>45121</v>
      </c>
      <c r="D527" s="11">
        <v>0.90537333787930496</v>
      </c>
      <c r="E527" s="11">
        <v>0.90537333787930496</v>
      </c>
      <c r="F527" s="16" t="s">
        <v>19</v>
      </c>
      <c r="G527" s="11">
        <v>1.53385245669757</v>
      </c>
      <c r="H527" s="11">
        <v>1.53370602807597</v>
      </c>
    </row>
    <row r="528" spans="3:8">
      <c r="C528" s="31">
        <v>45120</v>
      </c>
      <c r="D528" s="11">
        <v>0.90537333787930496</v>
      </c>
      <c r="E528" s="11">
        <v>0.90537333787930496</v>
      </c>
      <c r="F528" s="16" t="s">
        <v>19</v>
      </c>
      <c r="G528" s="11">
        <v>1.53385245669757</v>
      </c>
      <c r="H528" s="11">
        <v>1.53370602807597</v>
      </c>
    </row>
    <row r="529" spans="3:8">
      <c r="C529" s="31">
        <v>45119</v>
      </c>
      <c r="D529" s="11">
        <v>0.90537333787930496</v>
      </c>
      <c r="E529" s="11">
        <v>0.90537333787930496</v>
      </c>
      <c r="F529" s="16" t="s">
        <v>19</v>
      </c>
      <c r="G529" s="11">
        <v>1.53385245669757</v>
      </c>
      <c r="H529" s="11">
        <v>1.53370602807597</v>
      </c>
    </row>
    <row r="530" spans="3:8">
      <c r="C530" s="31">
        <v>45118</v>
      </c>
      <c r="D530" s="11">
        <v>0.90537333787930496</v>
      </c>
      <c r="E530" s="11">
        <v>0.90537333787930496</v>
      </c>
      <c r="F530" s="16" t="s">
        <v>19</v>
      </c>
      <c r="G530" s="11">
        <v>1.53385245669757</v>
      </c>
      <c r="H530" s="11">
        <v>1.53370602807597</v>
      </c>
    </row>
    <row r="531" spans="3:8">
      <c r="C531" s="31">
        <v>45117</v>
      </c>
      <c r="D531" s="11">
        <v>0.90537333787930496</v>
      </c>
      <c r="E531" s="11">
        <v>0.90537333787930496</v>
      </c>
      <c r="F531" s="16" t="s">
        <v>19</v>
      </c>
      <c r="G531" s="11">
        <v>1.53385245669757</v>
      </c>
      <c r="H531" s="11">
        <v>1.53370602807597</v>
      </c>
    </row>
    <row r="532" spans="3:8">
      <c r="C532" s="31">
        <v>45114</v>
      </c>
      <c r="D532" s="11">
        <v>0.90537333787930496</v>
      </c>
      <c r="E532" s="11">
        <v>0.90537333787930496</v>
      </c>
      <c r="F532" s="16" t="s">
        <v>19</v>
      </c>
      <c r="G532" s="11">
        <v>1.6226843930635799</v>
      </c>
      <c r="H532" s="11">
        <v>1.53370602807597</v>
      </c>
    </row>
    <row r="533" spans="3:8">
      <c r="C533" s="31">
        <v>45113</v>
      </c>
      <c r="D533" s="11">
        <v>0.90537333787930496</v>
      </c>
      <c r="E533" s="11">
        <v>0.90537333787930496</v>
      </c>
      <c r="F533" s="16" t="s">
        <v>19</v>
      </c>
      <c r="G533" s="11">
        <v>1.6226843930635799</v>
      </c>
      <c r="H533" s="11">
        <v>1.53370602807597</v>
      </c>
    </row>
    <row r="534" spans="3:8">
      <c r="C534" s="31">
        <v>45112</v>
      </c>
      <c r="D534" s="11">
        <v>0.90537333787930496</v>
      </c>
      <c r="E534" s="11">
        <v>0.90537333787930496</v>
      </c>
      <c r="F534" s="16" t="s">
        <v>19</v>
      </c>
      <c r="G534" s="11">
        <v>1.6226843930635799</v>
      </c>
      <c r="H534" s="11">
        <v>1.53370602807597</v>
      </c>
    </row>
    <row r="535" spans="3:8">
      <c r="C535" s="31">
        <v>45111</v>
      </c>
      <c r="D535" s="11">
        <v>0.90537333787930496</v>
      </c>
      <c r="E535" s="11">
        <v>0.90537333787930496</v>
      </c>
      <c r="F535" s="16" t="s">
        <v>19</v>
      </c>
      <c r="G535" s="11">
        <v>1.57637745997757</v>
      </c>
      <c r="H535" s="11">
        <v>1.3455385299637199</v>
      </c>
    </row>
    <row r="536" spans="3:8">
      <c r="C536" s="31">
        <v>45110</v>
      </c>
      <c r="D536" s="11">
        <v>0.90537333787930496</v>
      </c>
      <c r="E536" s="11">
        <v>0.90537333787930496</v>
      </c>
      <c r="F536" s="16" t="s">
        <v>19</v>
      </c>
      <c r="G536" s="11">
        <v>1.57637745997757</v>
      </c>
      <c r="H536" s="11">
        <v>1.3455385299637199</v>
      </c>
    </row>
    <row r="537" spans="3:8">
      <c r="C537" s="31">
        <v>45107</v>
      </c>
      <c r="D537" s="11">
        <v>0.90537333787930496</v>
      </c>
      <c r="E537" s="11">
        <v>0.90537333787930496</v>
      </c>
      <c r="F537" s="16" t="s">
        <v>19</v>
      </c>
      <c r="G537" s="11">
        <v>1.57637745997757</v>
      </c>
      <c r="H537" s="11">
        <v>1.3455385299637199</v>
      </c>
    </row>
    <row r="538" spans="3:8">
      <c r="C538" s="31">
        <v>45106</v>
      </c>
      <c r="D538" s="11">
        <v>0.90537333787930496</v>
      </c>
      <c r="E538" s="11">
        <v>0.90537333787930496</v>
      </c>
      <c r="F538" s="16" t="s">
        <v>19</v>
      </c>
      <c r="G538" s="11">
        <v>1.57637745997757</v>
      </c>
      <c r="H538" s="11">
        <v>1.3455385299637199</v>
      </c>
    </row>
    <row r="539" spans="3:8">
      <c r="C539" s="31">
        <v>45105</v>
      </c>
      <c r="D539" s="11">
        <v>0.90537333787930496</v>
      </c>
      <c r="E539" s="11">
        <v>0.90537333787930496</v>
      </c>
      <c r="F539" s="16" t="s">
        <v>19</v>
      </c>
      <c r="G539" s="11">
        <v>1.57637745997757</v>
      </c>
      <c r="H539" s="11">
        <v>1.3455385299637199</v>
      </c>
    </row>
    <row r="540" spans="3:8">
      <c r="C540" s="31">
        <v>45104</v>
      </c>
      <c r="D540" s="11">
        <v>0.90537333787930496</v>
      </c>
      <c r="E540" s="11">
        <v>0.90537333787930496</v>
      </c>
      <c r="F540" s="16" t="s">
        <v>19</v>
      </c>
      <c r="G540" s="11">
        <v>1.57637745997757</v>
      </c>
      <c r="H540" s="11">
        <v>1.3455385299637199</v>
      </c>
    </row>
    <row r="541" spans="3:8">
      <c r="C541" s="31">
        <v>45103</v>
      </c>
      <c r="D541" s="11">
        <v>0.90537333787930496</v>
      </c>
      <c r="E541" s="11">
        <v>0.90537333787930496</v>
      </c>
      <c r="F541" s="16" t="s">
        <v>19</v>
      </c>
      <c r="G541" s="11">
        <v>1.57637745997757</v>
      </c>
      <c r="H541" s="11">
        <v>1.3455385299637199</v>
      </c>
    </row>
    <row r="542" spans="3:8">
      <c r="C542" s="31">
        <v>45100</v>
      </c>
      <c r="D542" s="11">
        <v>0.90537333787930496</v>
      </c>
      <c r="E542" s="11">
        <v>0.90537333787930496</v>
      </c>
      <c r="F542" s="16" t="s">
        <v>19</v>
      </c>
      <c r="G542" s="11">
        <v>1.57637745997757</v>
      </c>
      <c r="H542" s="11">
        <v>1.3455385299637199</v>
      </c>
    </row>
    <row r="543" spans="3:8">
      <c r="C543" s="31">
        <v>45099</v>
      </c>
      <c r="D543" s="11">
        <v>0.90537333787930496</v>
      </c>
      <c r="E543" s="11">
        <v>0.90537333787930496</v>
      </c>
      <c r="F543" s="16" t="s">
        <v>19</v>
      </c>
      <c r="G543" s="11">
        <v>1.57637745997757</v>
      </c>
      <c r="H543" s="11">
        <v>1.3455385299637199</v>
      </c>
    </row>
    <row r="544" spans="3:8">
      <c r="C544" s="31">
        <v>45098</v>
      </c>
      <c r="D544" s="11">
        <v>0.90537333787930496</v>
      </c>
      <c r="E544" s="11">
        <v>0.90537333787930496</v>
      </c>
      <c r="F544" s="16" t="s">
        <v>19</v>
      </c>
      <c r="G544" s="11">
        <v>1.6275145246759899</v>
      </c>
      <c r="H544" s="11">
        <v>1.3455385299637199</v>
      </c>
    </row>
    <row r="545" spans="3:8">
      <c r="C545" s="31">
        <v>45097</v>
      </c>
      <c r="D545" s="11">
        <v>0.90537333787930496</v>
      </c>
      <c r="E545" s="11">
        <v>0.90537333787930496</v>
      </c>
      <c r="F545" s="16" t="s">
        <v>19</v>
      </c>
      <c r="G545" s="11">
        <v>1.4706832666082801</v>
      </c>
      <c r="H545" s="11">
        <v>1.3455385299637199</v>
      </c>
    </row>
    <row r="546" spans="3:8">
      <c r="C546" s="31">
        <v>45096</v>
      </c>
      <c r="D546" s="11">
        <v>0.90537333787930496</v>
      </c>
      <c r="E546" s="11">
        <v>0.90537333787930496</v>
      </c>
      <c r="F546" s="16" t="s">
        <v>19</v>
      </c>
      <c r="G546" s="11">
        <v>1.4706832666082801</v>
      </c>
      <c r="H546" s="11">
        <v>1.3455385299637199</v>
      </c>
    </row>
    <row r="547" spans="3:8">
      <c r="C547" s="31">
        <v>45093</v>
      </c>
      <c r="D547" s="11">
        <v>0.90537333787930496</v>
      </c>
      <c r="E547" s="11">
        <v>0.90537333787930496</v>
      </c>
      <c r="F547" s="16" t="s">
        <v>19</v>
      </c>
      <c r="G547" s="11">
        <v>1.4706832666082801</v>
      </c>
      <c r="H547" s="11">
        <v>1.3455385299637199</v>
      </c>
    </row>
    <row r="548" spans="3:8">
      <c r="C548" s="31">
        <v>45092</v>
      </c>
      <c r="D548" s="11">
        <v>0.90537333787930496</v>
      </c>
      <c r="E548" s="11">
        <v>0.90537333787930496</v>
      </c>
      <c r="F548" s="16" t="s">
        <v>19</v>
      </c>
      <c r="G548" s="11">
        <v>1.4706832666082801</v>
      </c>
      <c r="H548" s="11">
        <v>1.3455385299637199</v>
      </c>
    </row>
    <row r="549" spans="3:8">
      <c r="C549" s="31">
        <v>45091</v>
      </c>
      <c r="D549" s="11">
        <v>0.90537333787930496</v>
      </c>
      <c r="E549" s="11">
        <v>0.90537333787930496</v>
      </c>
      <c r="F549" s="16" t="s">
        <v>19</v>
      </c>
      <c r="G549" s="11">
        <v>1.4706832666082801</v>
      </c>
      <c r="H549" s="11">
        <v>1.3455385299637199</v>
      </c>
    </row>
    <row r="550" spans="3:8">
      <c r="C550" s="31">
        <v>45090</v>
      </c>
      <c r="D550" s="11">
        <v>0.90537333787930496</v>
      </c>
      <c r="E550" s="11">
        <v>0.90537333787930496</v>
      </c>
      <c r="F550" s="16" t="s">
        <v>19</v>
      </c>
      <c r="G550" s="11">
        <v>1.4706832666082801</v>
      </c>
      <c r="H550" s="11">
        <v>1.3455385299637199</v>
      </c>
    </row>
    <row r="551" spans="3:8">
      <c r="C551" s="31">
        <v>45089</v>
      </c>
      <c r="D551" s="11">
        <v>0.90537333787930496</v>
      </c>
      <c r="E551" s="11">
        <v>0.90537333787930496</v>
      </c>
      <c r="F551" s="16" t="s">
        <v>19</v>
      </c>
      <c r="G551" s="11">
        <v>1.4706832666082801</v>
      </c>
      <c r="H551" s="11">
        <v>1.3455385299637199</v>
      </c>
    </row>
    <row r="552" spans="3:8">
      <c r="C552" s="31">
        <v>45086</v>
      </c>
      <c r="D552" s="11">
        <v>0.90537333787930496</v>
      </c>
      <c r="E552" s="11">
        <v>0.90537333787930496</v>
      </c>
      <c r="F552" s="16" t="s">
        <v>19</v>
      </c>
      <c r="G552" s="11">
        <v>1.3386755692802099</v>
      </c>
      <c r="H552" s="11">
        <v>1.22258793402124</v>
      </c>
    </row>
    <row r="553" spans="3:8">
      <c r="C553" s="31">
        <v>45085</v>
      </c>
      <c r="D553" s="11">
        <v>0.90537333787930496</v>
      </c>
      <c r="E553" s="11">
        <v>0.90537333787930496</v>
      </c>
      <c r="F553" s="16" t="s">
        <v>19</v>
      </c>
      <c r="G553" s="11">
        <v>1.3386755692802099</v>
      </c>
      <c r="H553" s="11">
        <v>1.22258793402124</v>
      </c>
    </row>
    <row r="554" spans="3:8">
      <c r="C554" s="31">
        <v>45084</v>
      </c>
      <c r="D554" s="11">
        <v>0.90537333787930496</v>
      </c>
      <c r="E554" s="11">
        <v>0.90537333787930496</v>
      </c>
      <c r="F554" s="16" t="s">
        <v>19</v>
      </c>
      <c r="G554" s="11">
        <v>1.3261535045073101</v>
      </c>
      <c r="H554" s="11">
        <v>1.3103777629925299</v>
      </c>
    </row>
    <row r="555" spans="3:8">
      <c r="C555" s="31">
        <v>45083</v>
      </c>
      <c r="D555" s="11">
        <v>0.90537333787930496</v>
      </c>
      <c r="E555" s="11">
        <v>0.90537333787930496</v>
      </c>
      <c r="F555" s="16" t="s">
        <v>19</v>
      </c>
      <c r="G555" s="11">
        <v>1.4152425205744701</v>
      </c>
      <c r="H555" s="11">
        <v>1.3103777629925299</v>
      </c>
    </row>
    <row r="556" spans="3:8">
      <c r="C556" s="31">
        <v>45082</v>
      </c>
      <c r="D556" s="11">
        <v>0.90537333787930496</v>
      </c>
      <c r="E556" s="11">
        <v>0.90537333787930496</v>
      </c>
      <c r="F556" s="16" t="s">
        <v>19</v>
      </c>
      <c r="G556" s="11">
        <v>1.4152425205744701</v>
      </c>
      <c r="H556" s="11">
        <v>1.3103777629925299</v>
      </c>
    </row>
    <row r="557" spans="3:8">
      <c r="C557" s="31">
        <v>45079</v>
      </c>
      <c r="D557" s="11">
        <v>0.90537333787930496</v>
      </c>
      <c r="E557" s="11">
        <v>0.90537333787930496</v>
      </c>
      <c r="F557" s="16" t="s">
        <v>19</v>
      </c>
      <c r="G557" s="11">
        <v>1.4152425205744701</v>
      </c>
      <c r="H557" s="11">
        <v>1.3103777629925299</v>
      </c>
    </row>
    <row r="558" spans="3:8">
      <c r="C558" s="31">
        <v>45078</v>
      </c>
      <c r="D558" s="11">
        <v>0.90537333787930496</v>
      </c>
      <c r="E558" s="11">
        <v>0.90537333787930496</v>
      </c>
      <c r="F558" s="16" t="s">
        <v>19</v>
      </c>
      <c r="G558" s="11">
        <v>1.4152425205744701</v>
      </c>
      <c r="H558" s="11">
        <v>1.3103777629925299</v>
      </c>
    </row>
    <row r="559" spans="3:8">
      <c r="C559" s="31">
        <v>45077</v>
      </c>
      <c r="D559" s="11">
        <v>0.90537333787930496</v>
      </c>
      <c r="E559" s="11">
        <v>0.90537333787930496</v>
      </c>
      <c r="F559" s="16" t="s">
        <v>19</v>
      </c>
      <c r="G559" s="11">
        <v>1.4152425205744701</v>
      </c>
      <c r="H559" s="11">
        <v>1.3103777629925299</v>
      </c>
    </row>
    <row r="560" spans="3:8">
      <c r="C560" s="31">
        <v>45076</v>
      </c>
      <c r="D560" s="11">
        <v>0.90537333787930496</v>
      </c>
      <c r="E560" s="11">
        <v>0.90537333787930496</v>
      </c>
      <c r="F560" s="16" t="s">
        <v>19</v>
      </c>
      <c r="G560" s="11">
        <v>1.4152425205744701</v>
      </c>
      <c r="H560" s="11">
        <v>1.3103777629925299</v>
      </c>
    </row>
    <row r="561" spans="3:8">
      <c r="C561" s="31">
        <v>45075</v>
      </c>
      <c r="D561" s="11">
        <v>0.90537333787930496</v>
      </c>
      <c r="E561" s="11">
        <v>0.90537333787930496</v>
      </c>
      <c r="F561" s="16" t="s">
        <v>19</v>
      </c>
      <c r="G561" s="11">
        <v>1.39428075983115</v>
      </c>
      <c r="H561" s="11">
        <v>1.3103777629925299</v>
      </c>
    </row>
    <row r="562" spans="3:8">
      <c r="C562" s="31">
        <v>45072</v>
      </c>
      <c r="D562" s="11">
        <v>0.90537333787930496</v>
      </c>
      <c r="E562" s="11">
        <v>0.90537333787930496</v>
      </c>
      <c r="F562" s="16" t="s">
        <v>19</v>
      </c>
      <c r="G562" s="11">
        <v>1.39428075983115</v>
      </c>
      <c r="H562" s="11">
        <v>1.3103777629925299</v>
      </c>
    </row>
    <row r="563" spans="3:8">
      <c r="C563" s="31">
        <v>45071</v>
      </c>
      <c r="D563" s="11">
        <v>0.90537333787930496</v>
      </c>
      <c r="E563" s="11">
        <v>0.90537333787930496</v>
      </c>
      <c r="F563" s="16" t="s">
        <v>19</v>
      </c>
      <c r="G563" s="11">
        <v>1.4610565196763901</v>
      </c>
      <c r="H563" s="11">
        <v>1.3103777629925299</v>
      </c>
    </row>
    <row r="564" spans="3:8">
      <c r="C564" s="31">
        <v>45070</v>
      </c>
      <c r="D564" s="11">
        <v>0.90537333787930496</v>
      </c>
      <c r="E564" s="11">
        <v>0.90537333787930496</v>
      </c>
      <c r="F564" s="16" t="s">
        <v>19</v>
      </c>
      <c r="G564" s="11">
        <v>1.4610565196763901</v>
      </c>
      <c r="H564" s="11">
        <v>1.38048131335116</v>
      </c>
    </row>
    <row r="565" spans="3:8">
      <c r="C565" s="31">
        <v>45069</v>
      </c>
      <c r="D565" s="11">
        <v>0.90537333787930496</v>
      </c>
      <c r="E565" s="11">
        <v>0.90537333787930496</v>
      </c>
      <c r="F565" s="16" t="s">
        <v>19</v>
      </c>
      <c r="G565" s="11">
        <v>1.4610565196763901</v>
      </c>
      <c r="H565" s="11">
        <v>1.38048131335116</v>
      </c>
    </row>
    <row r="566" spans="3:8">
      <c r="C566" s="31">
        <v>45068</v>
      </c>
      <c r="D566" s="11">
        <v>0.90537333787930496</v>
      </c>
      <c r="E566" s="11">
        <v>0.90537333787930496</v>
      </c>
      <c r="F566" s="16" t="s">
        <v>19</v>
      </c>
      <c r="G566" s="11">
        <v>1.4610565196763901</v>
      </c>
      <c r="H566" s="11">
        <v>1.38048131335116</v>
      </c>
    </row>
    <row r="567" spans="3:8">
      <c r="C567" s="31">
        <v>45065</v>
      </c>
      <c r="D567" s="11">
        <v>0.90537333787930496</v>
      </c>
      <c r="E567" s="11">
        <v>0.90537333787930496</v>
      </c>
      <c r="F567" s="16" t="s">
        <v>19</v>
      </c>
      <c r="G567" s="11">
        <v>1.4610565196763901</v>
      </c>
      <c r="H567" s="11">
        <v>1.5751346736298899</v>
      </c>
    </row>
    <row r="568" spans="3:8">
      <c r="C568" s="31">
        <v>45064</v>
      </c>
      <c r="D568" s="11">
        <v>0.90537333787930496</v>
      </c>
      <c r="E568" s="11">
        <v>0.90537333787930496</v>
      </c>
      <c r="F568" s="16" t="s">
        <v>19</v>
      </c>
      <c r="G568" s="11">
        <v>1.4610565196763901</v>
      </c>
      <c r="H568" s="11">
        <v>1.5751346736298899</v>
      </c>
    </row>
    <row r="569" spans="3:8">
      <c r="C569" s="31">
        <v>45063</v>
      </c>
      <c r="D569" s="11">
        <v>0.90537333787930496</v>
      </c>
      <c r="E569" s="11">
        <v>0.90537333787930496</v>
      </c>
      <c r="F569" s="16" t="s">
        <v>19</v>
      </c>
      <c r="G569" s="11">
        <v>1.4610565196763901</v>
      </c>
      <c r="H569" s="11">
        <v>1.5751346736298899</v>
      </c>
    </row>
    <row r="570" spans="3:8">
      <c r="C570" s="31">
        <v>45062</v>
      </c>
      <c r="D570" s="11">
        <v>0.90537333787930496</v>
      </c>
      <c r="E570" s="11">
        <v>0.90537333787930496</v>
      </c>
      <c r="F570" s="16" t="s">
        <v>19</v>
      </c>
      <c r="G570" s="11">
        <v>1.4610565196763901</v>
      </c>
      <c r="H570" s="11">
        <v>1.5751346736298899</v>
      </c>
    </row>
    <row r="571" spans="3:8">
      <c r="C571" s="31">
        <v>45061</v>
      </c>
      <c r="D571" s="11">
        <v>0.90537333787930496</v>
      </c>
      <c r="E571" s="11">
        <v>0.90537333787930496</v>
      </c>
      <c r="F571" s="16" t="s">
        <v>19</v>
      </c>
      <c r="G571" s="11">
        <v>1.6421058597837499</v>
      </c>
      <c r="H571" s="11">
        <v>1.5751346736298899</v>
      </c>
    </row>
    <row r="572" spans="3:8">
      <c r="C572" s="31">
        <v>45058</v>
      </c>
      <c r="D572" s="11">
        <v>0.90537333787930496</v>
      </c>
      <c r="E572" s="11">
        <v>0.90537333787930496</v>
      </c>
      <c r="F572" s="16" t="s">
        <v>19</v>
      </c>
      <c r="G572" s="11">
        <v>1.6421058597837499</v>
      </c>
      <c r="H572" s="11">
        <v>1.5751346736298899</v>
      </c>
    </row>
    <row r="573" spans="3:8">
      <c r="C573" s="31">
        <v>45057</v>
      </c>
      <c r="D573" s="11">
        <v>0.90537333787930496</v>
      </c>
      <c r="E573" s="11">
        <v>0.90537333787930496</v>
      </c>
      <c r="F573" s="16" t="s">
        <v>19</v>
      </c>
      <c r="G573" s="11">
        <v>1.65301688611921</v>
      </c>
      <c r="H573" s="11">
        <v>1.5751346736298899</v>
      </c>
    </row>
    <row r="574" spans="3:8">
      <c r="C574" s="31">
        <v>45056</v>
      </c>
      <c r="D574" s="11">
        <v>0.90537333787930496</v>
      </c>
      <c r="E574" s="11">
        <v>0.90537333787930496</v>
      </c>
      <c r="F574" s="16" t="s">
        <v>19</v>
      </c>
      <c r="G574" s="11">
        <v>1.65301688611921</v>
      </c>
      <c r="H574" s="11">
        <v>1.5751346736298899</v>
      </c>
    </row>
    <row r="575" spans="3:8">
      <c r="C575" s="31">
        <v>45055</v>
      </c>
      <c r="D575" s="11">
        <v>0.90537333787930496</v>
      </c>
      <c r="E575" s="11">
        <v>0.90537333787930496</v>
      </c>
      <c r="F575" s="16" t="s">
        <v>19</v>
      </c>
      <c r="G575" s="11">
        <v>1.65301688611921</v>
      </c>
      <c r="H575" s="11">
        <v>1.5751346736298899</v>
      </c>
    </row>
    <row r="576" spans="3:8">
      <c r="C576" s="31">
        <v>45054</v>
      </c>
      <c r="D576" s="11">
        <v>0.90537333787930496</v>
      </c>
      <c r="E576" s="11">
        <v>0.90537333787930496</v>
      </c>
      <c r="F576" s="16" t="s">
        <v>19</v>
      </c>
      <c r="G576" s="11">
        <v>1.65301688611921</v>
      </c>
      <c r="H576" s="11">
        <v>1.5751346736298899</v>
      </c>
    </row>
    <row r="577" spans="3:8">
      <c r="C577" s="31">
        <v>45051</v>
      </c>
      <c r="D577" s="11">
        <v>0.90537333787930496</v>
      </c>
      <c r="E577" s="11">
        <v>0.90537333787930496</v>
      </c>
      <c r="F577" s="16" t="s">
        <v>19</v>
      </c>
      <c r="G577" s="11">
        <v>1.65301688611921</v>
      </c>
      <c r="H577" s="11">
        <v>1.5751346736298899</v>
      </c>
    </row>
    <row r="578" spans="3:8">
      <c r="C578" s="31">
        <v>45050</v>
      </c>
      <c r="D578" s="11">
        <v>0.90537333787930496</v>
      </c>
      <c r="E578" s="11">
        <v>0.90537333787930496</v>
      </c>
      <c r="F578" s="16" t="s">
        <v>19</v>
      </c>
      <c r="G578" s="11">
        <v>1.65301688611921</v>
      </c>
      <c r="H578" s="11">
        <v>1.5751346736298899</v>
      </c>
    </row>
    <row r="579" spans="3:8">
      <c r="C579" s="31">
        <v>45049</v>
      </c>
      <c r="D579" s="11">
        <v>0.90537333787930496</v>
      </c>
      <c r="E579" s="11">
        <v>0.90537333787930496</v>
      </c>
      <c r="F579" s="16" t="s">
        <v>19</v>
      </c>
      <c r="G579" s="11">
        <v>1.65301688611921</v>
      </c>
      <c r="H579" s="11">
        <v>1.5751346736298899</v>
      </c>
    </row>
    <row r="580" spans="3:8">
      <c r="C580" s="31">
        <v>45048</v>
      </c>
      <c r="D580" s="11">
        <v>0.90537333787930496</v>
      </c>
      <c r="E580" s="11">
        <v>0.90537333787930496</v>
      </c>
      <c r="F580" s="16" t="s">
        <v>19</v>
      </c>
      <c r="G580" s="11">
        <v>1.6595573593748101</v>
      </c>
      <c r="H580" s="11">
        <v>1.5751346736298899</v>
      </c>
    </row>
    <row r="581" spans="3:8">
      <c r="C581" s="31">
        <v>45047</v>
      </c>
      <c r="D581" s="11">
        <v>0.90537333787930496</v>
      </c>
      <c r="E581" s="11">
        <v>0.90537333787930496</v>
      </c>
      <c r="F581" s="16" t="s">
        <v>19</v>
      </c>
      <c r="G581" s="11">
        <v>1.7112468884362999</v>
      </c>
      <c r="H581" s="11">
        <v>1.5857554499509701</v>
      </c>
    </row>
    <row r="582" spans="3:8">
      <c r="C582" s="31">
        <v>45044</v>
      </c>
      <c r="D582" s="11">
        <v>0.90537333787930496</v>
      </c>
      <c r="E582" s="11">
        <v>0.90537333787930496</v>
      </c>
      <c r="F582" s="16" t="s">
        <v>19</v>
      </c>
      <c r="G582" s="11">
        <v>1.7112468884362999</v>
      </c>
      <c r="H582" s="11">
        <v>1.5857554499509701</v>
      </c>
    </row>
    <row r="583" spans="3:8">
      <c r="C583" s="31">
        <v>45043</v>
      </c>
      <c r="D583" s="11">
        <v>0.90537333787930496</v>
      </c>
      <c r="E583" s="11">
        <v>0.90537333787930496</v>
      </c>
      <c r="F583" s="16" t="s">
        <v>19</v>
      </c>
      <c r="G583" s="11">
        <v>1.8145579760998001</v>
      </c>
      <c r="H583" s="11">
        <v>1.63065619419852</v>
      </c>
    </row>
    <row r="584" spans="3:8">
      <c r="C584" s="31">
        <v>45042</v>
      </c>
      <c r="D584" s="11">
        <v>0.90537333787930496</v>
      </c>
      <c r="E584" s="11">
        <v>0.90537333787930496</v>
      </c>
      <c r="F584" s="16" t="s">
        <v>19</v>
      </c>
      <c r="G584" s="11">
        <v>1.6510845855099101</v>
      </c>
      <c r="H584" s="11">
        <v>2.9830312808331798</v>
      </c>
    </row>
    <row r="585" spans="3:8">
      <c r="C585" s="31">
        <v>45041</v>
      </c>
      <c r="D585" s="11">
        <v>0.90537333787930496</v>
      </c>
      <c r="E585" s="11">
        <v>0.90537333787930496</v>
      </c>
      <c r="F585" s="16" t="s">
        <v>19</v>
      </c>
      <c r="G585" s="11">
        <v>1.6510845855099101</v>
      </c>
      <c r="H585" s="11">
        <v>2.9830312808331798</v>
      </c>
    </row>
    <row r="586" spans="3:8">
      <c r="C586" s="31">
        <v>45040</v>
      </c>
      <c r="D586" s="11">
        <v>0.90537333787930496</v>
      </c>
      <c r="E586" s="11">
        <v>0.90537333787930496</v>
      </c>
      <c r="F586" s="16" t="s">
        <v>19</v>
      </c>
      <c r="G586" s="11">
        <v>1.6517485177312901</v>
      </c>
      <c r="H586" s="11">
        <v>2.9830312808331798</v>
      </c>
    </row>
    <row r="587" spans="3:8">
      <c r="C587" s="31">
        <v>45037</v>
      </c>
      <c r="D587" s="11">
        <v>0.90537333787930496</v>
      </c>
      <c r="E587" s="11">
        <v>0.90537333787930496</v>
      </c>
      <c r="F587" s="16" t="s">
        <v>19</v>
      </c>
      <c r="G587" s="11">
        <v>1.6517485177312901</v>
      </c>
      <c r="H587" s="11">
        <v>2.9830312808331798</v>
      </c>
    </row>
    <row r="588" spans="3:8">
      <c r="C588" s="31">
        <v>45036</v>
      </c>
      <c r="D588" s="11">
        <v>0.90537333787930496</v>
      </c>
      <c r="E588" s="11">
        <v>0.90537333787930496</v>
      </c>
      <c r="F588" s="16" t="s">
        <v>19</v>
      </c>
      <c r="G588" s="11">
        <v>1.6451652440086599</v>
      </c>
      <c r="H588" s="11">
        <v>2.9830312808331798</v>
      </c>
    </row>
    <row r="589" spans="3:8">
      <c r="C589" s="31">
        <v>45035</v>
      </c>
      <c r="D589" s="11">
        <v>0.90537333787930496</v>
      </c>
      <c r="E589" s="11">
        <v>0.90537333787930496</v>
      </c>
      <c r="F589" s="16" t="s">
        <v>19</v>
      </c>
      <c r="G589" s="11">
        <v>1.66468833306439</v>
      </c>
      <c r="H589" s="11">
        <v>2.9830312808331798</v>
      </c>
    </row>
    <row r="590" spans="3:8">
      <c r="C590" s="31">
        <v>45034</v>
      </c>
      <c r="D590" s="11">
        <v>0.90537333787930496</v>
      </c>
      <c r="E590" s="11">
        <v>0.90537333787930496</v>
      </c>
      <c r="F590" s="16" t="s">
        <v>19</v>
      </c>
      <c r="G590" s="11">
        <v>1.66468833306439</v>
      </c>
      <c r="H590" s="11">
        <v>2.9830312808331798</v>
      </c>
    </row>
    <row r="591" spans="3:8">
      <c r="C591" s="31">
        <v>45033</v>
      </c>
      <c r="D591" s="11">
        <v>0.90537333787930496</v>
      </c>
      <c r="E591" s="11">
        <v>0.90537333787930496</v>
      </c>
      <c r="F591" s="16" t="s">
        <v>19</v>
      </c>
      <c r="G591" s="11">
        <v>1.66468833306439</v>
      </c>
      <c r="H591" s="11">
        <v>2.9830312808331798</v>
      </c>
    </row>
    <row r="592" spans="3:8">
      <c r="C592" s="31">
        <v>45030</v>
      </c>
      <c r="D592" s="11">
        <v>0.90537333787930496</v>
      </c>
      <c r="E592" s="11">
        <v>0.90537333787930496</v>
      </c>
      <c r="F592" s="16" t="s">
        <v>19</v>
      </c>
      <c r="G592" s="11">
        <v>1.66468833306439</v>
      </c>
      <c r="H592" s="11">
        <v>2.9830312808331798</v>
      </c>
    </row>
    <row r="593" spans="3:8">
      <c r="C593" s="31">
        <v>45029</v>
      </c>
      <c r="D593" s="11">
        <v>0.90537333787930496</v>
      </c>
      <c r="E593" s="11">
        <v>0.90537333787930496</v>
      </c>
      <c r="F593" s="16" t="s">
        <v>19</v>
      </c>
      <c r="G593" s="11">
        <v>1.7655486002604199</v>
      </c>
      <c r="H593" s="11">
        <v>2.9830312808331798</v>
      </c>
    </row>
    <row r="594" spans="3:8">
      <c r="C594" s="31">
        <v>45028</v>
      </c>
      <c r="D594" s="11">
        <v>0.90537333787930496</v>
      </c>
      <c r="E594" s="11">
        <v>0.90537333787930496</v>
      </c>
      <c r="F594" s="16" t="s">
        <v>19</v>
      </c>
      <c r="G594" s="11">
        <v>1.7086588217733101</v>
      </c>
      <c r="H594" s="11">
        <v>2.9830312808331798</v>
      </c>
    </row>
    <row r="595" spans="3:8">
      <c r="C595" s="31">
        <v>45027</v>
      </c>
      <c r="D595" s="11">
        <v>0.90537333787930496</v>
      </c>
      <c r="E595" s="11">
        <v>0.90537333787930496</v>
      </c>
      <c r="F595" s="16" t="s">
        <v>19</v>
      </c>
      <c r="G595" s="11">
        <v>1.7086588217733101</v>
      </c>
      <c r="H595" s="11">
        <v>2.9830312808331798</v>
      </c>
    </row>
    <row r="596" spans="3:8">
      <c r="C596" s="31">
        <v>45026</v>
      </c>
      <c r="D596" s="11">
        <v>0.90537333787930496</v>
      </c>
      <c r="E596" s="11">
        <v>0.90537333787930496</v>
      </c>
      <c r="F596" s="16" t="s">
        <v>19</v>
      </c>
      <c r="G596" s="11">
        <v>1.7086588217733101</v>
      </c>
      <c r="H596" s="11">
        <v>2.9830312808331798</v>
      </c>
    </row>
    <row r="597" spans="3:8">
      <c r="C597" s="31">
        <v>45023</v>
      </c>
      <c r="D597" s="11">
        <v>0.90537333787930496</v>
      </c>
      <c r="E597" s="11">
        <v>0.90537333787930496</v>
      </c>
      <c r="F597" s="16" t="s">
        <v>19</v>
      </c>
      <c r="G597" s="11">
        <v>1.7086588217733101</v>
      </c>
      <c r="H597" s="11">
        <v>2.9830312808331798</v>
      </c>
    </row>
    <row r="598" spans="3:8">
      <c r="C598" s="31">
        <v>45022</v>
      </c>
      <c r="D598" s="11">
        <v>0.90537333787930496</v>
      </c>
      <c r="E598" s="11">
        <v>0.90537333787930496</v>
      </c>
      <c r="F598" s="16" t="s">
        <v>19</v>
      </c>
      <c r="G598" s="11">
        <v>1.7086588217733101</v>
      </c>
      <c r="H598" s="11">
        <v>2.9830312808331798</v>
      </c>
    </row>
    <row r="599" spans="3:8">
      <c r="C599" s="31">
        <v>45021</v>
      </c>
      <c r="D599" s="11">
        <v>0.90537333787930496</v>
      </c>
      <c r="E599" s="11">
        <v>0.90537333787930496</v>
      </c>
      <c r="F599" s="16" t="s">
        <v>19</v>
      </c>
      <c r="G599" s="11">
        <v>1.7233092518061099</v>
      </c>
      <c r="H599" s="11">
        <v>2.9830312808331798</v>
      </c>
    </row>
    <row r="600" spans="3:8">
      <c r="C600" s="31">
        <v>45020</v>
      </c>
      <c r="D600" s="11">
        <v>0.90537333787930496</v>
      </c>
      <c r="E600" s="11">
        <v>0.90537333787930496</v>
      </c>
      <c r="F600" s="16" t="s">
        <v>19</v>
      </c>
      <c r="G600" s="11">
        <v>1.7233092518061099</v>
      </c>
      <c r="H600" s="11">
        <v>2.9830312808331798</v>
      </c>
    </row>
    <row r="601" spans="3:8">
      <c r="C601" s="31">
        <v>45019</v>
      </c>
      <c r="D601" s="11">
        <v>0.90537333787930496</v>
      </c>
      <c r="E601" s="11">
        <v>0.90537333787930496</v>
      </c>
      <c r="F601" s="16" t="s">
        <v>19</v>
      </c>
      <c r="G601" s="11">
        <v>1.56335356071918</v>
      </c>
      <c r="H601" s="11">
        <v>2.9830312808331798</v>
      </c>
    </row>
    <row r="602" spans="3:8">
      <c r="C602" s="31">
        <v>45016</v>
      </c>
      <c r="D602" s="11">
        <v>0.90537333787930496</v>
      </c>
      <c r="E602" s="11">
        <v>0.90537333787930496</v>
      </c>
      <c r="F602" s="16" t="s">
        <v>19</v>
      </c>
      <c r="G602" s="11">
        <v>1.56335356071918</v>
      </c>
      <c r="H602" s="11">
        <v>2.9830312808331798</v>
      </c>
    </row>
    <row r="603" spans="3:8">
      <c r="C603" s="31">
        <v>45015</v>
      </c>
      <c r="D603" s="11">
        <v>0.90537333787930496</v>
      </c>
      <c r="E603" s="11">
        <v>0.90537333787930496</v>
      </c>
      <c r="F603" s="16" t="s">
        <v>19</v>
      </c>
      <c r="G603" s="11">
        <v>1.56335356071918</v>
      </c>
      <c r="H603" s="11">
        <v>2.9830312808331798</v>
      </c>
    </row>
    <row r="604" spans="3:8">
      <c r="C604" s="31">
        <v>45014</v>
      </c>
      <c r="D604" s="11">
        <v>0.90537333787930496</v>
      </c>
      <c r="E604" s="11">
        <v>0.90537333787930496</v>
      </c>
      <c r="F604" s="16" t="s">
        <v>19</v>
      </c>
      <c r="G604" s="11">
        <v>1.56335356071918</v>
      </c>
      <c r="H604" s="11">
        <v>2.9830312808331798</v>
      </c>
    </row>
    <row r="605" spans="3:8">
      <c r="C605" s="31">
        <v>45013</v>
      </c>
      <c r="D605" s="11">
        <v>0.90537333787930496</v>
      </c>
      <c r="E605" s="11">
        <v>0.90537333787930496</v>
      </c>
      <c r="F605" s="16" t="s">
        <v>19</v>
      </c>
      <c r="G605" s="11">
        <v>1.56335356071918</v>
      </c>
      <c r="H605" s="11">
        <v>2.9830312808331798</v>
      </c>
    </row>
    <row r="606" spans="3:8">
      <c r="C606" s="31">
        <v>45012</v>
      </c>
      <c r="D606" s="11">
        <v>0.90537333787930496</v>
      </c>
      <c r="E606" s="11">
        <v>0.90537333787930496</v>
      </c>
      <c r="F606" s="16" t="s">
        <v>19</v>
      </c>
      <c r="G606" s="11">
        <v>1.49879654889071</v>
      </c>
      <c r="H606" s="11">
        <v>2.9830312808331798</v>
      </c>
    </row>
    <row r="607" spans="3:8">
      <c r="C607" s="31">
        <v>45009</v>
      </c>
      <c r="D607" s="11">
        <v>0.90537333787930496</v>
      </c>
      <c r="E607" s="11">
        <v>0.90537333787930496</v>
      </c>
      <c r="F607" s="16" t="s">
        <v>19</v>
      </c>
      <c r="G607" s="11">
        <v>1.49879654889071</v>
      </c>
      <c r="H607" s="11">
        <v>2.9830312808331798</v>
      </c>
    </row>
    <row r="608" spans="3:8">
      <c r="C608" s="31">
        <v>45008</v>
      </c>
      <c r="D608" s="11">
        <v>0.90537333787930496</v>
      </c>
      <c r="E608" s="11">
        <v>0.90537333787930496</v>
      </c>
      <c r="F608" s="16" t="s">
        <v>19</v>
      </c>
      <c r="G608" s="11">
        <v>1.49879654889071</v>
      </c>
      <c r="H608" s="11">
        <v>2.9830312808331798</v>
      </c>
    </row>
    <row r="609" spans="3:8">
      <c r="C609" s="31">
        <v>45007</v>
      </c>
      <c r="D609" s="11">
        <v>0.90537333787930496</v>
      </c>
      <c r="E609" s="11">
        <v>0.90537333787930496</v>
      </c>
      <c r="F609" s="16" t="s">
        <v>19</v>
      </c>
      <c r="G609" s="11">
        <v>1.49879654889071</v>
      </c>
      <c r="H609" s="11">
        <v>2.9830312808331798</v>
      </c>
    </row>
    <row r="610" spans="3:8">
      <c r="C610" s="31">
        <v>45006</v>
      </c>
      <c r="D610" s="11">
        <v>0.90537333787930496</v>
      </c>
      <c r="E610" s="11">
        <v>0.90537333787930496</v>
      </c>
      <c r="F610" s="16" t="s">
        <v>19</v>
      </c>
      <c r="G610" s="11">
        <v>1.65758328765455</v>
      </c>
      <c r="H610" s="11">
        <v>2.9830312808331798</v>
      </c>
    </row>
    <row r="611" spans="3:8">
      <c r="C611" s="31">
        <v>45005</v>
      </c>
      <c r="D611" s="11">
        <v>0.90537333787930496</v>
      </c>
      <c r="E611" s="11">
        <v>0.90537333787930496</v>
      </c>
      <c r="F611" s="16" t="s">
        <v>19</v>
      </c>
      <c r="G611" s="11">
        <v>1.65758328765455</v>
      </c>
      <c r="H611" s="11">
        <v>2.9830312808331798</v>
      </c>
    </row>
    <row r="612" spans="3:8">
      <c r="C612" s="31">
        <v>45002</v>
      </c>
      <c r="D612" s="11">
        <v>0.90537333787930496</v>
      </c>
      <c r="E612" s="11">
        <v>0.90537333787930496</v>
      </c>
      <c r="F612" s="16" t="s">
        <v>19</v>
      </c>
      <c r="G612" s="11">
        <v>1.65758328765455</v>
      </c>
      <c r="H612" s="11">
        <v>2.9830312808331798</v>
      </c>
    </row>
    <row r="613" spans="3:8">
      <c r="C613" s="31">
        <v>45001</v>
      </c>
      <c r="D613" s="11">
        <v>0.90537333787930496</v>
      </c>
      <c r="E613" s="11">
        <v>0.90537333787930496</v>
      </c>
      <c r="F613" s="16" t="s">
        <v>19</v>
      </c>
      <c r="G613" s="11">
        <v>1.65758328765455</v>
      </c>
      <c r="H613" s="11">
        <v>2.9830312808331798</v>
      </c>
    </row>
    <row r="614" spans="3:8">
      <c r="C614" s="31">
        <v>45000</v>
      </c>
      <c r="D614" s="11">
        <v>0.90537333787930496</v>
      </c>
      <c r="E614" s="11">
        <v>0.90537333787930496</v>
      </c>
      <c r="F614" s="16" t="s">
        <v>19</v>
      </c>
      <c r="G614" s="11">
        <v>1.65758328765455</v>
      </c>
      <c r="H614" s="11">
        <v>2.9830312808331798</v>
      </c>
    </row>
    <row r="615" spans="3:8">
      <c r="C615" s="31">
        <v>44999</v>
      </c>
      <c r="D615" s="11">
        <v>0.90537333787930496</v>
      </c>
      <c r="E615" s="11">
        <v>0.90537333787930496</v>
      </c>
      <c r="F615" s="16" t="s">
        <v>19</v>
      </c>
      <c r="G615" s="11">
        <v>1.65758328765455</v>
      </c>
      <c r="H615" s="11">
        <v>2.9830312808331798</v>
      </c>
    </row>
    <row r="616" spans="3:8">
      <c r="C616" s="31">
        <v>44998</v>
      </c>
      <c r="D616" s="11">
        <v>0.90537333787930496</v>
      </c>
      <c r="E616" s="11">
        <v>0.90537333787930496</v>
      </c>
      <c r="F616" s="16" t="s">
        <v>19</v>
      </c>
      <c r="G616" s="11">
        <v>1.65758328765455</v>
      </c>
      <c r="H616" s="11">
        <v>2.9830312808331798</v>
      </c>
    </row>
    <row r="617" spans="3:8">
      <c r="C617" s="31">
        <v>44995</v>
      </c>
      <c r="D617" s="11">
        <v>0.90537333787930496</v>
      </c>
      <c r="E617" s="11">
        <v>0.90537333787930496</v>
      </c>
      <c r="F617" s="16" t="s">
        <v>19</v>
      </c>
      <c r="G617" s="11">
        <v>3.13904357965311</v>
      </c>
      <c r="H617" s="11">
        <v>2.9830312808331798</v>
      </c>
    </row>
    <row r="618" spans="3:8">
      <c r="C618" s="31">
        <v>44994</v>
      </c>
      <c r="D618" s="11">
        <v>0.90537333787930496</v>
      </c>
      <c r="E618" s="11">
        <v>0.90537333787930496</v>
      </c>
      <c r="F618" s="16" t="s">
        <v>19</v>
      </c>
      <c r="G618" s="11">
        <v>3.13904357965311</v>
      </c>
      <c r="H618" s="11">
        <v>2.9830312808331798</v>
      </c>
    </row>
    <row r="619" spans="3:8">
      <c r="C619" s="31">
        <v>44993</v>
      </c>
      <c r="D619" s="11">
        <v>0.90537333787930496</v>
      </c>
      <c r="E619" s="11">
        <v>0.90537333787930496</v>
      </c>
      <c r="F619" s="16" t="s">
        <v>19</v>
      </c>
      <c r="G619" s="11">
        <v>3.13904357965311</v>
      </c>
      <c r="H619" s="11">
        <v>2.9830312808331798</v>
      </c>
    </row>
    <row r="620" spans="3:8">
      <c r="C620" s="31">
        <v>44992</v>
      </c>
      <c r="D620" s="11">
        <v>0.90537333787930496</v>
      </c>
      <c r="E620" s="11">
        <v>0.90537333787930496</v>
      </c>
      <c r="F620" s="16" t="s">
        <v>19</v>
      </c>
      <c r="G620" s="11">
        <v>3.13904357965311</v>
      </c>
      <c r="H620" s="11">
        <v>2.9830312808331798</v>
      </c>
    </row>
    <row r="621" spans="3:8">
      <c r="C621" s="31">
        <v>44991</v>
      </c>
      <c r="D621" s="11">
        <v>0.90537333787930496</v>
      </c>
      <c r="E621" s="11">
        <v>0.90537333787930496</v>
      </c>
      <c r="F621" s="16" t="s">
        <v>19</v>
      </c>
      <c r="G621" s="11">
        <v>3.13904357965311</v>
      </c>
      <c r="H621" s="11">
        <v>2.9830312808331798</v>
      </c>
    </row>
    <row r="622" spans="3:8">
      <c r="C622" s="31">
        <v>44988</v>
      </c>
      <c r="D622" s="11">
        <v>0.90537333787930496</v>
      </c>
      <c r="E622" s="11">
        <v>0.90537333787930496</v>
      </c>
      <c r="F622" s="16" t="s">
        <v>19</v>
      </c>
      <c r="G622" s="11">
        <v>3.13904357965311</v>
      </c>
      <c r="H622" s="11">
        <v>2.9830312808331798</v>
      </c>
    </row>
    <row r="623" spans="3:8">
      <c r="C623" s="31">
        <v>44987</v>
      </c>
      <c r="D623" s="11">
        <v>0.90537333787930496</v>
      </c>
      <c r="E623" s="11">
        <v>0.90537333787930496</v>
      </c>
      <c r="F623" s="16" t="s">
        <v>19</v>
      </c>
      <c r="G623" s="11">
        <v>3.13904357965311</v>
      </c>
      <c r="H623" s="11">
        <v>2.9830312808331798</v>
      </c>
    </row>
    <row r="624" spans="3:8">
      <c r="C624" s="31">
        <v>44986</v>
      </c>
      <c r="D624" s="11">
        <v>0.90537333787930496</v>
      </c>
      <c r="E624" s="11">
        <v>0.90537333787930496</v>
      </c>
      <c r="F624" s="16" t="s">
        <v>19</v>
      </c>
      <c r="G624" s="11">
        <v>3.13904357965311</v>
      </c>
      <c r="H624" s="11">
        <v>2.9830312808331798</v>
      </c>
    </row>
    <row r="625" spans="3:8">
      <c r="C625" s="31">
        <v>44985</v>
      </c>
      <c r="D625" s="11">
        <v>0.90537333787930496</v>
      </c>
      <c r="E625" s="11">
        <v>0.90537333787930496</v>
      </c>
      <c r="F625" s="16" t="s">
        <v>19</v>
      </c>
      <c r="G625" s="11">
        <v>3.13904357965311</v>
      </c>
      <c r="H625" s="11">
        <v>2.9830312808331798</v>
      </c>
    </row>
    <row r="626" spans="3:8">
      <c r="C626" s="31">
        <v>44984</v>
      </c>
      <c r="D626" s="11">
        <v>0.90537333787930496</v>
      </c>
      <c r="E626" s="11">
        <v>0.90537333787930496</v>
      </c>
      <c r="F626" s="16" t="s">
        <v>19</v>
      </c>
      <c r="G626" s="11">
        <v>3.13904357965311</v>
      </c>
      <c r="H626" s="11">
        <v>2.9830312808331798</v>
      </c>
    </row>
    <row r="627" spans="3:8">
      <c r="C627" s="31">
        <v>44981</v>
      </c>
      <c r="D627" s="11">
        <v>0.90537333787930496</v>
      </c>
      <c r="E627" s="11">
        <v>0.90537333787930496</v>
      </c>
      <c r="F627" s="16" t="s">
        <v>19</v>
      </c>
      <c r="G627" s="11">
        <v>3.13904357965311</v>
      </c>
      <c r="H627" s="11">
        <v>2.9830312808331798</v>
      </c>
    </row>
    <row r="628" spans="3:8">
      <c r="C628" s="31">
        <v>44980</v>
      </c>
      <c r="D628" s="11">
        <v>0.90537333787930496</v>
      </c>
      <c r="E628" s="11">
        <v>0.90537333787930496</v>
      </c>
      <c r="F628" s="16" t="s">
        <v>19</v>
      </c>
      <c r="G628" s="11">
        <v>3.13904357965311</v>
      </c>
      <c r="H628" s="11">
        <v>2.9830312808331798</v>
      </c>
    </row>
    <row r="629" spans="3:8">
      <c r="C629" s="31">
        <v>44979</v>
      </c>
      <c r="D629" s="11">
        <v>0.90537333787930496</v>
      </c>
      <c r="E629" s="11">
        <v>0.90537333787930496</v>
      </c>
      <c r="F629" s="16" t="s">
        <v>19</v>
      </c>
      <c r="G629" s="11">
        <v>3.13904357965311</v>
      </c>
      <c r="H629" s="11">
        <v>2.9830312808331798</v>
      </c>
    </row>
    <row r="630" spans="3:8">
      <c r="C630" s="31">
        <v>44978</v>
      </c>
      <c r="D630" s="11">
        <v>0.90537333787930496</v>
      </c>
      <c r="E630" s="11">
        <v>0.90537333787930496</v>
      </c>
      <c r="F630" s="16" t="s">
        <v>19</v>
      </c>
      <c r="G630" s="11">
        <v>3.13904357965311</v>
      </c>
      <c r="H630" s="11">
        <v>2.9830312808331798</v>
      </c>
    </row>
    <row r="631" spans="3:8">
      <c r="C631" s="31">
        <v>44977</v>
      </c>
      <c r="D631" s="11">
        <v>0.90537333787930496</v>
      </c>
      <c r="E631" s="11">
        <v>0.90537333787930496</v>
      </c>
      <c r="F631" s="16" t="s">
        <v>19</v>
      </c>
      <c r="G631" s="11">
        <v>3.13904357965311</v>
      </c>
      <c r="H631" s="11">
        <v>2.9830312808331798</v>
      </c>
    </row>
    <row r="632" spans="3:8">
      <c r="C632" s="31">
        <v>44974</v>
      </c>
      <c r="D632" s="11">
        <v>0.90537333787930496</v>
      </c>
      <c r="E632" s="11">
        <v>0.90537333787930496</v>
      </c>
      <c r="F632" s="16" t="s">
        <v>19</v>
      </c>
      <c r="G632" s="11">
        <v>3.13904357965311</v>
      </c>
      <c r="H632" s="11">
        <v>2.9830312808331798</v>
      </c>
    </row>
    <row r="633" spans="3:8">
      <c r="C633" s="31">
        <v>44973</v>
      </c>
      <c r="D633" s="11">
        <v>0.90537333787930496</v>
      </c>
      <c r="E633" s="11">
        <v>0.90537333787930496</v>
      </c>
      <c r="F633" s="16" t="s">
        <v>19</v>
      </c>
      <c r="G633" s="11">
        <v>3.13904357965311</v>
      </c>
      <c r="H633" s="11">
        <v>2.9830312808331798</v>
      </c>
    </row>
    <row r="634" spans="3:8">
      <c r="C634" s="31">
        <v>44972</v>
      </c>
      <c r="D634" s="11">
        <v>0.90537333787930496</v>
      </c>
      <c r="E634" s="11">
        <v>0.90537333787930496</v>
      </c>
      <c r="F634" s="16" t="s">
        <v>19</v>
      </c>
      <c r="G634" s="11">
        <v>3.13904357965311</v>
      </c>
      <c r="H634" s="11">
        <v>2.9830312808331798</v>
      </c>
    </row>
    <row r="635" spans="3:8">
      <c r="C635" s="31">
        <v>44971</v>
      </c>
      <c r="D635" s="11">
        <v>0.90537333787930496</v>
      </c>
      <c r="E635" s="11">
        <v>0.90537333787930496</v>
      </c>
      <c r="F635" s="16" t="s">
        <v>19</v>
      </c>
      <c r="G635" s="11">
        <v>3.13904357965311</v>
      </c>
      <c r="H635" s="11">
        <v>2.9830312808331798</v>
      </c>
    </row>
    <row r="636" spans="3:8">
      <c r="C636" s="31">
        <v>44970</v>
      </c>
      <c r="D636" s="11">
        <v>0.90537333787930496</v>
      </c>
      <c r="E636" s="11">
        <v>0.90537333787930496</v>
      </c>
      <c r="F636" s="16" t="s">
        <v>19</v>
      </c>
      <c r="G636" s="11">
        <v>3.13904357965311</v>
      </c>
      <c r="H636" s="11">
        <v>2.9830312808331798</v>
      </c>
    </row>
    <row r="637" spans="3:8">
      <c r="C637" s="31">
        <v>44967</v>
      </c>
      <c r="D637" s="11">
        <v>0.90537333787930496</v>
      </c>
      <c r="E637" s="11">
        <v>0.90537333787930496</v>
      </c>
      <c r="F637" s="16" t="s">
        <v>19</v>
      </c>
      <c r="G637" s="11">
        <v>3.13904357965311</v>
      </c>
      <c r="H637" s="11">
        <v>2.9830312808331798</v>
      </c>
    </row>
    <row r="638" spans="3:8">
      <c r="C638" s="31">
        <v>44966</v>
      </c>
      <c r="D638" s="11">
        <v>0.90537333787930496</v>
      </c>
      <c r="E638" s="11">
        <v>0.90537333787930496</v>
      </c>
      <c r="F638" s="16" t="s">
        <v>19</v>
      </c>
      <c r="G638" s="11">
        <v>3.13904357965311</v>
      </c>
      <c r="H638" s="11">
        <v>2.9830312808331798</v>
      </c>
    </row>
    <row r="639" spans="3:8">
      <c r="C639" s="31">
        <v>44965</v>
      </c>
      <c r="D639" s="11">
        <v>0.90537333787930496</v>
      </c>
      <c r="E639" s="11">
        <v>0.90537333787930496</v>
      </c>
      <c r="F639" s="16" t="s">
        <v>19</v>
      </c>
      <c r="G639" s="11">
        <v>3.13904357965311</v>
      </c>
      <c r="H639" s="11">
        <v>2.9830312808331798</v>
      </c>
    </row>
    <row r="640" spans="3:8">
      <c r="C640" s="31">
        <v>44964</v>
      </c>
      <c r="D640" s="11">
        <v>0.90537333787930496</v>
      </c>
      <c r="E640" s="11">
        <v>0.90537333787930496</v>
      </c>
      <c r="F640" s="16" t="s">
        <v>19</v>
      </c>
      <c r="G640" s="11">
        <v>3.13904357965311</v>
      </c>
      <c r="H640" s="11">
        <v>2.9830312808331798</v>
      </c>
    </row>
    <row r="641" spans="3:8">
      <c r="C641" s="31">
        <v>44963</v>
      </c>
      <c r="D641" s="11">
        <v>0.90537333787930496</v>
      </c>
      <c r="E641" s="11">
        <v>0.90537333787930496</v>
      </c>
      <c r="F641" s="16" t="s">
        <v>19</v>
      </c>
      <c r="G641" s="11">
        <v>3.13904357965311</v>
      </c>
      <c r="H641" s="11">
        <v>2.9830312808331798</v>
      </c>
    </row>
    <row r="642" spans="3:8">
      <c r="C642" s="31">
        <v>44960</v>
      </c>
      <c r="D642" s="11">
        <v>0.90537333787930496</v>
      </c>
      <c r="E642" s="11">
        <v>0.90537333787930496</v>
      </c>
      <c r="F642" s="16">
        <v>20</v>
      </c>
      <c r="G642" s="11">
        <v>3.13904357965311</v>
      </c>
      <c r="H642" s="11">
        <v>2.9830312808331798</v>
      </c>
    </row>
    <row r="643" spans="3:8">
      <c r="C643" s="31">
        <v>44959</v>
      </c>
      <c r="D643" s="11">
        <v>0.90537333787930496</v>
      </c>
      <c r="E643" s="11">
        <v>0.90537333787930496</v>
      </c>
      <c r="F643" s="16" t="s">
        <v>19</v>
      </c>
      <c r="G643" s="11">
        <v>3.13904357965311</v>
      </c>
      <c r="H643" s="11">
        <v>2.9830312808331798</v>
      </c>
    </row>
    <row r="644" spans="3:8">
      <c r="C644" s="31">
        <v>44958</v>
      </c>
      <c r="D644" s="11">
        <v>0.90537333787930496</v>
      </c>
      <c r="E644" s="11">
        <v>0.90537333787930496</v>
      </c>
      <c r="F644" s="16" t="s">
        <v>19</v>
      </c>
      <c r="G644" s="11">
        <v>3.13904357965311</v>
      </c>
      <c r="H644" s="11">
        <v>2.9830312808331798</v>
      </c>
    </row>
    <row r="645" spans="3:8">
      <c r="C645" s="31">
        <v>44957</v>
      </c>
      <c r="D645" s="11">
        <v>0.90537333787930496</v>
      </c>
      <c r="E645" s="11">
        <v>0.90537333787930496</v>
      </c>
      <c r="F645" s="16" t="s">
        <v>19</v>
      </c>
      <c r="G645" s="11">
        <v>3.13904357965311</v>
      </c>
      <c r="H645" s="11">
        <v>2.9830312808331798</v>
      </c>
    </row>
    <row r="646" spans="3:8">
      <c r="C646" s="31">
        <v>44956</v>
      </c>
      <c r="D646" s="11">
        <v>0.90537333787930496</v>
      </c>
      <c r="E646" s="11">
        <v>0.90537333787930496</v>
      </c>
      <c r="F646" s="16" t="s">
        <v>19</v>
      </c>
      <c r="G646" s="11">
        <v>3.13904357965311</v>
      </c>
      <c r="H646" s="11">
        <v>2.9830312808331798</v>
      </c>
    </row>
    <row r="647" spans="3:8">
      <c r="C647" s="31">
        <v>44953</v>
      </c>
      <c r="D647" s="11">
        <v>0.90537333787930496</v>
      </c>
      <c r="E647" s="11">
        <v>0.90537333787930496</v>
      </c>
      <c r="F647" s="16" t="s">
        <v>19</v>
      </c>
      <c r="G647" s="11">
        <v>3.13904357965311</v>
      </c>
      <c r="H647" s="11">
        <v>2.9830312808331798</v>
      </c>
    </row>
    <row r="648" spans="3:8">
      <c r="C648" s="31">
        <v>44952</v>
      </c>
      <c r="D648" s="11">
        <v>0.90537333787930496</v>
      </c>
      <c r="E648" s="11">
        <v>0.90537333787930496</v>
      </c>
      <c r="F648" s="16" t="s">
        <v>19</v>
      </c>
      <c r="G648" s="11">
        <v>3.13904357965311</v>
      </c>
      <c r="H648" s="11">
        <v>2.9830312808331798</v>
      </c>
    </row>
    <row r="649" spans="3:8">
      <c r="C649" s="31">
        <v>44951</v>
      </c>
      <c r="D649" s="11">
        <v>0.90537333787930496</v>
      </c>
      <c r="E649" s="11">
        <v>0.90537333787930496</v>
      </c>
      <c r="F649" s="16" t="s">
        <v>19</v>
      </c>
      <c r="G649" s="11">
        <v>3.13904357965311</v>
      </c>
      <c r="H649" s="11">
        <v>2.9830312808331798</v>
      </c>
    </row>
    <row r="650" spans="3:8">
      <c r="C650" s="31">
        <v>44950</v>
      </c>
      <c r="D650" s="11">
        <v>0.90537333787930496</v>
      </c>
      <c r="E650" s="11">
        <v>0.90537333787930496</v>
      </c>
      <c r="F650" s="16" t="s">
        <v>19</v>
      </c>
      <c r="G650" s="11">
        <v>3.13904357965311</v>
      </c>
      <c r="H650" s="11">
        <v>2.9830312808331798</v>
      </c>
    </row>
    <row r="651" spans="3:8">
      <c r="C651" s="31">
        <v>44949</v>
      </c>
      <c r="D651" s="11">
        <v>0.90537333787930496</v>
      </c>
      <c r="E651" s="11">
        <v>0.90537333787930496</v>
      </c>
      <c r="F651" s="16" t="s">
        <v>19</v>
      </c>
      <c r="G651" s="11">
        <v>3.13904357965311</v>
      </c>
      <c r="H651" s="11">
        <v>2.9830312808331798</v>
      </c>
    </row>
    <row r="652" spans="3:8">
      <c r="C652" s="31">
        <v>44946</v>
      </c>
      <c r="D652" s="11">
        <v>0.90537333787930496</v>
      </c>
      <c r="E652" s="11">
        <v>0.90537333787930496</v>
      </c>
      <c r="F652" s="16" t="s">
        <v>19</v>
      </c>
      <c r="G652" s="11">
        <v>3.13904357965311</v>
      </c>
      <c r="H652" s="11">
        <v>2.9830312808331798</v>
      </c>
    </row>
    <row r="653" spans="3:8">
      <c r="C653" s="31">
        <v>44945</v>
      </c>
      <c r="D653" s="11">
        <v>0.90537333787930496</v>
      </c>
      <c r="E653" s="11">
        <v>0.90537333787930496</v>
      </c>
      <c r="F653" s="16" t="s">
        <v>19</v>
      </c>
      <c r="G653" s="11">
        <v>3.13904357965311</v>
      </c>
      <c r="H653" s="11">
        <v>2.9830312808331798</v>
      </c>
    </row>
    <row r="654" spans="3:8">
      <c r="C654" s="31">
        <v>44944</v>
      </c>
      <c r="D654" s="11">
        <v>0.90537333787930496</v>
      </c>
      <c r="E654" s="11">
        <v>0.90537333787930496</v>
      </c>
      <c r="F654" s="16" t="s">
        <v>19</v>
      </c>
      <c r="G654" s="11">
        <v>3.13904357965311</v>
      </c>
      <c r="H654" s="11">
        <v>2.9830312808331798</v>
      </c>
    </row>
    <row r="655" spans="3:8">
      <c r="C655" s="31">
        <v>44943</v>
      </c>
      <c r="D655" s="11">
        <v>0.90537333787930496</v>
      </c>
      <c r="E655" s="11">
        <v>0.90537333787930496</v>
      </c>
      <c r="F655" s="16" t="s">
        <v>19</v>
      </c>
      <c r="G655" s="11">
        <v>3.13904357965311</v>
      </c>
      <c r="H655" s="11">
        <v>2.9830312808331798</v>
      </c>
    </row>
    <row r="656" spans="3:8">
      <c r="C656" s="31">
        <v>44942</v>
      </c>
      <c r="D656" s="11">
        <v>0.90537333787930496</v>
      </c>
      <c r="E656" s="11">
        <v>0.90537333787930496</v>
      </c>
      <c r="F656" s="16" t="s">
        <v>19</v>
      </c>
      <c r="G656" s="11">
        <v>3.13904357965311</v>
      </c>
      <c r="H656" s="11">
        <v>2.9830312808331798</v>
      </c>
    </row>
    <row r="657" spans="3:8">
      <c r="C657" s="31">
        <v>44939</v>
      </c>
      <c r="D657" s="11">
        <v>0.90537333787930496</v>
      </c>
      <c r="E657" s="11">
        <v>0.90537333787930496</v>
      </c>
      <c r="F657" s="16" t="s">
        <v>19</v>
      </c>
      <c r="G657" s="11">
        <v>3.13904357965311</v>
      </c>
      <c r="H657" s="11">
        <v>2.9830312808331798</v>
      </c>
    </row>
    <row r="658" spans="3:8">
      <c r="C658" s="31">
        <v>44938</v>
      </c>
      <c r="D658" s="11">
        <v>0.90537333787930496</v>
      </c>
      <c r="E658" s="11">
        <v>0.90537333787930496</v>
      </c>
      <c r="F658" s="16" t="s">
        <v>19</v>
      </c>
      <c r="G658" s="11">
        <v>3.13904357965311</v>
      </c>
      <c r="H658" s="11">
        <v>2.9830312808331798</v>
      </c>
    </row>
    <row r="659" spans="3:8">
      <c r="C659" s="31">
        <v>44937</v>
      </c>
      <c r="D659" s="11">
        <v>0.90537333787930496</v>
      </c>
      <c r="E659" s="11">
        <v>0.90537333787930496</v>
      </c>
      <c r="F659" s="16" t="s">
        <v>19</v>
      </c>
      <c r="G659" s="11">
        <v>3.13904357965311</v>
      </c>
      <c r="H659" s="11">
        <v>2.9830312808331798</v>
      </c>
    </row>
    <row r="660" spans="3:8">
      <c r="C660" s="31">
        <v>44936</v>
      </c>
      <c r="D660" s="11">
        <v>0.90537333787930496</v>
      </c>
      <c r="E660" s="11">
        <v>0.90537333787930496</v>
      </c>
      <c r="F660" s="16" t="s">
        <v>19</v>
      </c>
      <c r="G660" s="11">
        <v>3.13904357965311</v>
      </c>
      <c r="H660" s="11">
        <v>2.9830312808331798</v>
      </c>
    </row>
    <row r="661" spans="3:8">
      <c r="C661" s="31">
        <v>44935</v>
      </c>
      <c r="D661" s="11">
        <v>0.90537333787930496</v>
      </c>
      <c r="E661" s="11">
        <v>0.90537333787930496</v>
      </c>
      <c r="F661" s="16" t="s">
        <v>19</v>
      </c>
      <c r="G661" s="11">
        <v>3.13904357965311</v>
      </c>
      <c r="H661" s="11">
        <v>2.9830312808331798</v>
      </c>
    </row>
    <row r="662" spans="3:8">
      <c r="C662" s="31">
        <v>44932</v>
      </c>
      <c r="D662" s="11">
        <v>0.90537333787930496</v>
      </c>
      <c r="E662" s="11">
        <v>0.90537333787930496</v>
      </c>
      <c r="F662" s="16" t="s">
        <v>19</v>
      </c>
      <c r="G662" s="11">
        <v>3.13904357965311</v>
      </c>
      <c r="H662" s="11">
        <v>2.9830312808331798</v>
      </c>
    </row>
    <row r="663" spans="3:8">
      <c r="C663" s="31">
        <v>44931</v>
      </c>
      <c r="D663" s="11">
        <v>0.90537333787930496</v>
      </c>
      <c r="E663" s="11">
        <v>0.90537333787930496</v>
      </c>
      <c r="F663" s="16" t="s">
        <v>19</v>
      </c>
      <c r="G663" s="11">
        <v>3.13904357965311</v>
      </c>
      <c r="H663" s="11">
        <v>2.9830312808331798</v>
      </c>
    </row>
    <row r="664" spans="3:8">
      <c r="C664" s="31">
        <v>44930</v>
      </c>
      <c r="D664" s="11">
        <v>0.90537333787930496</v>
      </c>
      <c r="E664" s="11">
        <v>0.90537333787930496</v>
      </c>
      <c r="F664" s="16" t="s">
        <v>19</v>
      </c>
      <c r="G664" s="11">
        <v>3.13904357965311</v>
      </c>
      <c r="H664" s="11">
        <v>2.9830312808331798</v>
      </c>
    </row>
    <row r="665" spans="3:8">
      <c r="C665" s="31">
        <v>44929</v>
      </c>
      <c r="D665" s="11">
        <v>0.90537333787930496</v>
      </c>
      <c r="E665" s="11">
        <v>0.90537333787930496</v>
      </c>
      <c r="F665" s="16" t="s">
        <v>19</v>
      </c>
      <c r="G665" s="11">
        <v>3.13904357965311</v>
      </c>
      <c r="H665" s="11">
        <v>2.9830312808331798</v>
      </c>
    </row>
    <row r="666" spans="3:8">
      <c r="C666" s="31">
        <v>44928</v>
      </c>
      <c r="D666" s="11">
        <v>0.90537333787930496</v>
      </c>
      <c r="E666" s="11">
        <v>0.90537333787930496</v>
      </c>
      <c r="F666" s="16" t="s">
        <v>19</v>
      </c>
      <c r="G666" s="11">
        <v>3.13904357965311</v>
      </c>
      <c r="H666" s="11">
        <v>2.9830312808331798</v>
      </c>
    </row>
    <row r="667" spans="3:8">
      <c r="C667" s="31">
        <v>44925</v>
      </c>
      <c r="D667" s="11">
        <v>0.90537333787930496</v>
      </c>
      <c r="E667" s="11">
        <v>0.90537333787930496</v>
      </c>
      <c r="F667" s="16" t="s">
        <v>19</v>
      </c>
      <c r="G667" s="11">
        <v>3.13904357965311</v>
      </c>
      <c r="H667" s="11">
        <v>2.9830312808331798</v>
      </c>
    </row>
    <row r="668" spans="3:8">
      <c r="C668" s="31">
        <v>44924</v>
      </c>
      <c r="D668" s="11">
        <v>0.90537333787930496</v>
      </c>
      <c r="E668" s="11">
        <v>0.90537333787930496</v>
      </c>
      <c r="F668" s="16" t="s">
        <v>19</v>
      </c>
      <c r="G668" s="11">
        <v>3.13904357965311</v>
      </c>
      <c r="H668" s="11">
        <v>2.9830312808331798</v>
      </c>
    </row>
    <row r="669" spans="3:8">
      <c r="C669" s="31">
        <v>44923</v>
      </c>
      <c r="D669" s="11">
        <v>0.90537333787930496</v>
      </c>
      <c r="E669" s="11">
        <v>0.90537333787930496</v>
      </c>
      <c r="F669" s="16" t="s">
        <v>19</v>
      </c>
      <c r="G669" s="11">
        <v>3.13904357965311</v>
      </c>
      <c r="H669" s="11">
        <v>2.9830312808331798</v>
      </c>
    </row>
    <row r="670" spans="3:8">
      <c r="C670" s="31">
        <v>44922</v>
      </c>
      <c r="D670" s="11">
        <v>0.90537333787930496</v>
      </c>
      <c r="E670" s="11">
        <v>0.90537333787930496</v>
      </c>
      <c r="F670" s="16" t="s">
        <v>19</v>
      </c>
      <c r="G670" s="11">
        <v>3.13904357965311</v>
      </c>
      <c r="H670" s="11">
        <v>2.9830312808331798</v>
      </c>
    </row>
    <row r="671" spans="3:8">
      <c r="C671" s="31">
        <v>44921</v>
      </c>
      <c r="D671" s="11">
        <v>0.90537333787930496</v>
      </c>
      <c r="E671" s="11">
        <v>0.90537333787930496</v>
      </c>
      <c r="F671" s="16" t="s">
        <v>19</v>
      </c>
      <c r="G671" s="11">
        <v>3.13904357965311</v>
      </c>
      <c r="H671" s="11">
        <v>2.9830312808331798</v>
      </c>
    </row>
    <row r="672" spans="3:8">
      <c r="C672" s="31">
        <v>44918</v>
      </c>
      <c r="D672" s="11">
        <v>0.90537333787930496</v>
      </c>
      <c r="E672" s="11">
        <v>0.90537333787930496</v>
      </c>
      <c r="F672" s="16" t="s">
        <v>19</v>
      </c>
      <c r="G672" s="11">
        <v>3.13904357965311</v>
      </c>
      <c r="H672" s="11">
        <v>2.9830312808331798</v>
      </c>
    </row>
    <row r="673" spans="3:8">
      <c r="C673" s="31">
        <v>44917</v>
      </c>
      <c r="D673" s="11">
        <v>0.90537333787930496</v>
      </c>
      <c r="E673" s="11">
        <v>0.90537333787930496</v>
      </c>
      <c r="F673" s="16" t="s">
        <v>19</v>
      </c>
      <c r="G673" s="11">
        <v>3.13904357965311</v>
      </c>
      <c r="H673" s="11">
        <v>2.9830312808331798</v>
      </c>
    </row>
    <row r="674" spans="3:8">
      <c r="C674" s="31">
        <v>44916</v>
      </c>
      <c r="D674" s="11">
        <v>0.90537333787930496</v>
      </c>
      <c r="E674" s="11">
        <v>0.90537333787930496</v>
      </c>
      <c r="F674" s="16" t="s">
        <v>19</v>
      </c>
      <c r="G674" s="11">
        <v>3.13904357965311</v>
      </c>
      <c r="H674" s="11">
        <v>2.9830312808331798</v>
      </c>
    </row>
    <row r="675" spans="3:8">
      <c r="C675" s="31">
        <v>44915</v>
      </c>
      <c r="D675" s="11">
        <v>0.90537333787930496</v>
      </c>
      <c r="E675" s="11">
        <v>0.90537333787930496</v>
      </c>
      <c r="F675" s="16" t="s">
        <v>19</v>
      </c>
      <c r="G675" s="11">
        <v>3.13904357965311</v>
      </c>
      <c r="H675" s="11">
        <v>2.9830312808331798</v>
      </c>
    </row>
    <row r="676" spans="3:8">
      <c r="C676" s="31">
        <v>44914</v>
      </c>
      <c r="D676" s="11">
        <v>0.90537333787930496</v>
      </c>
      <c r="E676" s="11">
        <v>0.90537333787930496</v>
      </c>
      <c r="F676" s="16" t="s">
        <v>19</v>
      </c>
      <c r="G676" s="11">
        <v>3.13904357965311</v>
      </c>
      <c r="H676" s="11">
        <v>3.04478522931546</v>
      </c>
    </row>
    <row r="677" spans="3:8">
      <c r="C677" s="31">
        <v>44911</v>
      </c>
      <c r="D677" s="11">
        <v>0.90537333787930496</v>
      </c>
      <c r="E677" s="11">
        <v>0.90537333787930496</v>
      </c>
      <c r="F677" s="16" t="s">
        <v>19</v>
      </c>
      <c r="G677" s="11">
        <v>3.8771592543437801</v>
      </c>
      <c r="H677" s="11">
        <v>3.7867502623920899</v>
      </c>
    </row>
    <row r="678" spans="3:8">
      <c r="C678" s="31">
        <v>44910</v>
      </c>
      <c r="D678" s="11">
        <v>0.90537333787930496</v>
      </c>
      <c r="E678" s="11">
        <v>0.90537333787930496</v>
      </c>
      <c r="F678" s="16" t="s">
        <v>19</v>
      </c>
      <c r="G678" s="11">
        <v>3.8771592543437801</v>
      </c>
      <c r="H678" s="11">
        <v>3.7867502623920899</v>
      </c>
    </row>
    <row r="679" spans="3:8">
      <c r="C679" s="31">
        <v>44909</v>
      </c>
      <c r="D679" s="11">
        <v>0.90537333787930496</v>
      </c>
      <c r="E679" s="11">
        <v>0.90537333787930496</v>
      </c>
      <c r="F679" s="16">
        <v>10</v>
      </c>
      <c r="G679" s="11">
        <v>3.8462742923151398</v>
      </c>
      <c r="H679" s="11">
        <v>3.9435234245475299</v>
      </c>
    </row>
    <row r="680" spans="3:8">
      <c r="C680" s="31">
        <v>44908</v>
      </c>
      <c r="D680" s="11">
        <v>0.90537333787930496</v>
      </c>
      <c r="E680" s="11">
        <v>0.90537333787930496</v>
      </c>
      <c r="F680" s="16" t="s">
        <v>19</v>
      </c>
      <c r="G680" s="11">
        <v>3.30072226919276</v>
      </c>
      <c r="H680" s="11">
        <v>3.9435234245475299</v>
      </c>
    </row>
    <row r="681" spans="3:8">
      <c r="C681" s="31">
        <v>44907</v>
      </c>
      <c r="D681" s="11">
        <v>0.90537333787930496</v>
      </c>
      <c r="E681" s="11">
        <v>0.90537333787930496</v>
      </c>
      <c r="F681" s="16" t="s">
        <v>19</v>
      </c>
      <c r="G681" s="11">
        <v>3.30072226919276</v>
      </c>
      <c r="H681" s="11">
        <v>3.9081076196318998</v>
      </c>
    </row>
    <row r="682" spans="3:8">
      <c r="C682" s="31">
        <v>44904</v>
      </c>
      <c r="D682" s="11">
        <v>0.90537333787930496</v>
      </c>
      <c r="E682" s="11">
        <v>0.90537333787930496</v>
      </c>
      <c r="F682" s="16" t="s">
        <v>19</v>
      </c>
      <c r="G682" s="11">
        <v>3.30072226919276</v>
      </c>
      <c r="H682" s="11">
        <v>4.04312991580779</v>
      </c>
    </row>
    <row r="683" spans="3:8">
      <c r="C683" s="31">
        <v>44903</v>
      </c>
      <c r="D683" s="11">
        <v>0.90537333787930496</v>
      </c>
      <c r="E683" s="11">
        <v>0.90537333787930496</v>
      </c>
      <c r="F683" s="16" t="s">
        <v>19</v>
      </c>
      <c r="G683" s="11">
        <v>3.30072226919276</v>
      </c>
      <c r="H683" s="11">
        <v>3.3998948435998702</v>
      </c>
    </row>
    <row r="684" spans="3:8">
      <c r="C684" s="31">
        <v>44902</v>
      </c>
      <c r="D684" s="11">
        <v>0.90537333787930496</v>
      </c>
      <c r="E684" s="11">
        <v>0.90537333787930496</v>
      </c>
      <c r="F684" s="16" t="s">
        <v>19</v>
      </c>
      <c r="G684" s="11">
        <v>3.30072226919276</v>
      </c>
      <c r="H684" s="11">
        <v>3.3998948435998702</v>
      </c>
    </row>
    <row r="685" spans="3:8">
      <c r="C685" s="31">
        <v>44901</v>
      </c>
      <c r="D685" s="11">
        <v>0.90537333787930496</v>
      </c>
      <c r="E685" s="11">
        <v>0.90537333787930496</v>
      </c>
      <c r="F685" s="16" t="s">
        <v>19</v>
      </c>
      <c r="G685" s="11">
        <v>3.30072226919276</v>
      </c>
      <c r="H685" s="11">
        <v>3.3998948435998702</v>
      </c>
    </row>
    <row r="686" spans="3:8">
      <c r="C686" s="31">
        <v>44900</v>
      </c>
      <c r="D686" s="11">
        <v>0.90537333787930496</v>
      </c>
      <c r="E686" s="11">
        <v>0.90537333787930496</v>
      </c>
      <c r="F686" s="16" t="s">
        <v>19</v>
      </c>
      <c r="G686" s="11">
        <v>3.30072226919276</v>
      </c>
      <c r="H686" s="11">
        <v>3.3998948435998702</v>
      </c>
    </row>
    <row r="687" spans="3:8">
      <c r="C687" s="31">
        <v>44897</v>
      </c>
      <c r="D687" s="11">
        <v>0.90537333787930496</v>
      </c>
      <c r="E687" s="11">
        <v>0.90537333787930496</v>
      </c>
      <c r="F687" s="16" t="s">
        <v>19</v>
      </c>
      <c r="G687" s="11">
        <v>3.30072226919276</v>
      </c>
      <c r="H687" s="11">
        <v>3.3998948435998702</v>
      </c>
    </row>
    <row r="688" spans="3:8">
      <c r="C688" s="31">
        <v>44896</v>
      </c>
      <c r="D688" s="11">
        <v>0.90537333787930496</v>
      </c>
      <c r="E688" s="11">
        <v>0.90537333787930496</v>
      </c>
      <c r="F688" s="16" t="s">
        <v>19</v>
      </c>
      <c r="G688" s="11">
        <v>3.30072226919276</v>
      </c>
      <c r="H688" s="11">
        <v>3.3998948435998702</v>
      </c>
    </row>
    <row r="689" spans="3:8">
      <c r="C689" s="31">
        <v>44895</v>
      </c>
      <c r="D689" s="11">
        <v>0.90537333787930496</v>
      </c>
      <c r="E689" s="11">
        <v>0.90537333787930496</v>
      </c>
      <c r="F689" s="16" t="s">
        <v>19</v>
      </c>
      <c r="G689" s="11">
        <v>3.30072226919276</v>
      </c>
      <c r="H689" s="11">
        <v>3.3998948435998702</v>
      </c>
    </row>
    <row r="690" spans="3:8">
      <c r="C690" s="31">
        <v>44894</v>
      </c>
      <c r="D690" s="11">
        <v>0.90537333787930496</v>
      </c>
      <c r="E690" s="11">
        <v>0.90537333787930496</v>
      </c>
      <c r="F690" s="16" t="s">
        <v>19</v>
      </c>
      <c r="G690" s="11">
        <v>3.30072226919276</v>
      </c>
      <c r="H690" s="11">
        <v>3.3998948435998702</v>
      </c>
    </row>
    <row r="691" spans="3:8">
      <c r="C691" s="31">
        <v>44893</v>
      </c>
      <c r="D691" s="11">
        <v>0.90537333787930496</v>
      </c>
      <c r="E691" s="11">
        <v>0.90537333787930496</v>
      </c>
      <c r="F691" s="16" t="s">
        <v>19</v>
      </c>
      <c r="G691" s="11">
        <v>3.30072226919276</v>
      </c>
      <c r="H691" s="11">
        <v>3.3998948435998702</v>
      </c>
    </row>
    <row r="692" spans="3:8">
      <c r="C692" s="31">
        <v>44890</v>
      </c>
      <c r="D692" s="11">
        <v>0.90537333787930496</v>
      </c>
      <c r="E692" s="11">
        <v>0.90537333787930496</v>
      </c>
      <c r="F692" s="16" t="s">
        <v>19</v>
      </c>
      <c r="G692" s="11">
        <v>3.30072226919276</v>
      </c>
      <c r="H692" s="11">
        <v>3.3998948435998702</v>
      </c>
    </row>
    <row r="693" spans="3:8">
      <c r="C693" s="31">
        <v>44889</v>
      </c>
      <c r="D693" s="11">
        <v>0.90537333787930496</v>
      </c>
      <c r="E693" s="11">
        <v>0.90537333787930496</v>
      </c>
      <c r="F693" s="16" t="s">
        <v>19</v>
      </c>
      <c r="G693" s="11">
        <v>3.30072226919276</v>
      </c>
      <c r="H693" s="11">
        <v>3.3998948435998702</v>
      </c>
    </row>
    <row r="694" spans="3:8">
      <c r="C694" s="31">
        <v>44888</v>
      </c>
      <c r="D694" s="11">
        <v>0.90537333787930496</v>
      </c>
      <c r="E694" s="11">
        <v>0.90537333787930496</v>
      </c>
      <c r="F694" s="16" t="s">
        <v>19</v>
      </c>
      <c r="G694" s="11">
        <v>3.30072226919276</v>
      </c>
      <c r="H694" s="11">
        <v>3.3998948435998702</v>
      </c>
    </row>
    <row r="695" spans="3:8">
      <c r="C695" s="31">
        <v>44887</v>
      </c>
      <c r="D695" s="11">
        <v>0.90537333787930496</v>
      </c>
      <c r="E695" s="11">
        <v>0.90537333787930496</v>
      </c>
      <c r="F695" s="16" t="s">
        <v>19</v>
      </c>
      <c r="G695" s="11">
        <v>3.30072226919276</v>
      </c>
      <c r="H695" s="11">
        <v>3.3998948435998702</v>
      </c>
    </row>
    <row r="696" spans="3:8">
      <c r="C696" s="31">
        <v>44886</v>
      </c>
      <c r="D696" s="11">
        <v>0.90537333787930496</v>
      </c>
      <c r="E696" s="11">
        <v>0.90537333787930496</v>
      </c>
      <c r="F696" s="16" t="s">
        <v>19</v>
      </c>
      <c r="G696" s="11">
        <v>3.30072226919276</v>
      </c>
      <c r="H696" s="11">
        <v>3.3998948435998702</v>
      </c>
    </row>
    <row r="697" spans="3:8">
      <c r="C697" s="31">
        <v>44883</v>
      </c>
      <c r="D697" s="11">
        <v>0.90537333787930496</v>
      </c>
      <c r="E697" s="11">
        <v>0.90537333787930496</v>
      </c>
      <c r="F697" s="16" t="s">
        <v>19</v>
      </c>
      <c r="G697" s="11">
        <v>3.30072226919276</v>
      </c>
      <c r="H697" s="11">
        <v>3.3998948435998702</v>
      </c>
    </row>
    <row r="698" spans="3:8">
      <c r="C698" s="31">
        <v>44882</v>
      </c>
      <c r="D698" s="11">
        <v>0.90537333787930496</v>
      </c>
      <c r="E698" s="11">
        <v>0.90537333787930496</v>
      </c>
      <c r="F698" s="16" t="s">
        <v>19</v>
      </c>
      <c r="G698" s="11">
        <v>3.30072226919276</v>
      </c>
      <c r="H698" s="11">
        <v>3.3998948435998702</v>
      </c>
    </row>
    <row r="699" spans="3:8">
      <c r="C699" s="31">
        <v>44881</v>
      </c>
      <c r="D699" s="11">
        <v>0.90537333787930496</v>
      </c>
      <c r="E699" s="11">
        <v>0.90537333787930496</v>
      </c>
      <c r="F699" s="16" t="s">
        <v>19</v>
      </c>
      <c r="G699" s="11">
        <v>3.30072226919276</v>
      </c>
      <c r="H699" s="11">
        <v>4.3667130721801497</v>
      </c>
    </row>
    <row r="700" spans="3:8">
      <c r="C700" s="31">
        <v>44880</v>
      </c>
      <c r="D700" s="11">
        <v>0.90537333787930496</v>
      </c>
      <c r="E700" s="11">
        <v>0.90537333787930496</v>
      </c>
      <c r="F700" s="16" t="s">
        <v>19</v>
      </c>
      <c r="G700" s="11">
        <v>4.85227216707748</v>
      </c>
      <c r="H700" s="11">
        <v>4.3667130721801497</v>
      </c>
    </row>
    <row r="701" spans="3:8">
      <c r="C701" s="31">
        <v>44879</v>
      </c>
      <c r="D701" s="11">
        <v>0.90537333787930496</v>
      </c>
      <c r="E701" s="11">
        <v>0.90537333787930496</v>
      </c>
      <c r="F701" s="16" t="s">
        <v>19</v>
      </c>
      <c r="G701" s="11">
        <v>4.85227216707748</v>
      </c>
      <c r="H701" s="11">
        <v>4.3667130721801497</v>
      </c>
    </row>
    <row r="702" spans="3:8">
      <c r="C702" s="31">
        <v>44876</v>
      </c>
      <c r="D702" s="11">
        <v>0.90537333787930496</v>
      </c>
      <c r="E702" s="11">
        <v>0.90537333787930496</v>
      </c>
      <c r="F702" s="16" t="s">
        <v>19</v>
      </c>
      <c r="G702" s="11">
        <v>4.85227216707748</v>
      </c>
      <c r="H702" s="11">
        <v>4.3667130721801497</v>
      </c>
    </row>
    <row r="703" spans="3:8">
      <c r="C703" s="31">
        <v>44875</v>
      </c>
      <c r="D703" s="11">
        <v>0.90537333787930496</v>
      </c>
      <c r="E703" s="11">
        <v>0.90537333787930496</v>
      </c>
      <c r="F703" s="16" t="s">
        <v>19</v>
      </c>
      <c r="G703" s="11">
        <v>4.85227216707748</v>
      </c>
      <c r="H703" s="11">
        <v>4.3667130721801497</v>
      </c>
    </row>
    <row r="704" spans="3:8">
      <c r="C704" s="31">
        <v>44874</v>
      </c>
      <c r="D704" s="11">
        <v>0.90537333787930496</v>
      </c>
      <c r="E704" s="11">
        <v>0.90537333787930496</v>
      </c>
      <c r="F704" s="16" t="s">
        <v>19</v>
      </c>
      <c r="G704" s="11">
        <v>4.85227216707748</v>
      </c>
      <c r="H704" s="11">
        <v>4.3667130721801497</v>
      </c>
    </row>
    <row r="705" spans="3:8">
      <c r="C705" s="31">
        <v>44873</v>
      </c>
      <c r="D705" s="11">
        <v>0.90537333787930496</v>
      </c>
      <c r="E705" s="11">
        <v>0.90537333787930496</v>
      </c>
      <c r="F705" s="16" t="s">
        <v>19</v>
      </c>
      <c r="G705" s="11">
        <v>4.85227216707748</v>
      </c>
      <c r="H705" s="11">
        <v>4.3667130721801497</v>
      </c>
    </row>
    <row r="706" spans="3:8">
      <c r="C706" s="31">
        <v>44872</v>
      </c>
      <c r="D706" s="11">
        <v>0.90537333787930496</v>
      </c>
      <c r="E706" s="11">
        <v>0.90537333787930496</v>
      </c>
      <c r="F706" s="16" t="s">
        <v>19</v>
      </c>
      <c r="G706" s="11">
        <v>4.85227216707748</v>
      </c>
      <c r="H706" s="11">
        <v>4.3667130721801497</v>
      </c>
    </row>
    <row r="707" spans="3:8">
      <c r="C707" s="31">
        <v>44869</v>
      </c>
      <c r="D707" s="11">
        <v>0.90537333787930496</v>
      </c>
      <c r="E707" s="11">
        <v>0.90537333787930496</v>
      </c>
      <c r="F707" s="16" t="s">
        <v>19</v>
      </c>
      <c r="G707" s="11">
        <v>4.85227216707748</v>
      </c>
      <c r="H707" s="11">
        <v>4.3667130721801497</v>
      </c>
    </row>
    <row r="708" spans="3:8">
      <c r="C708" s="31">
        <v>44868</v>
      </c>
      <c r="D708" s="11">
        <v>0.90537333787930496</v>
      </c>
      <c r="E708" s="11">
        <v>0.90537333787930496</v>
      </c>
      <c r="F708" s="16" t="s">
        <v>19</v>
      </c>
      <c r="G708" s="11">
        <v>4.85227216707748</v>
      </c>
      <c r="H708" s="11">
        <v>4.3667130721801497</v>
      </c>
    </row>
    <row r="709" spans="3:8">
      <c r="C709" s="31">
        <v>44867</v>
      </c>
      <c r="D709" s="11">
        <v>0.90537333787930496</v>
      </c>
      <c r="E709" s="11">
        <v>0.90537333787930496</v>
      </c>
      <c r="F709" s="16" t="s">
        <v>19</v>
      </c>
      <c r="G709" s="11">
        <v>4.85227216707748</v>
      </c>
      <c r="H709" s="11">
        <v>4.3667130721801497</v>
      </c>
    </row>
    <row r="710" spans="3:8">
      <c r="C710" s="31">
        <v>44866</v>
      </c>
      <c r="D710" s="11">
        <v>0.90537333787930496</v>
      </c>
      <c r="E710" s="11">
        <v>0.90537333787930496</v>
      </c>
      <c r="F710" s="16" t="s">
        <v>19</v>
      </c>
      <c r="G710" s="11">
        <v>4.85227216707748</v>
      </c>
      <c r="H710" s="11">
        <v>4.3667130721801497</v>
      </c>
    </row>
    <row r="711" spans="3:8">
      <c r="C711" s="31">
        <v>44865</v>
      </c>
      <c r="D711" s="11">
        <v>0.90537333787930496</v>
      </c>
      <c r="E711" s="11">
        <v>0.90537333787930496</v>
      </c>
      <c r="F711" s="16" t="s">
        <v>19</v>
      </c>
      <c r="G711" s="11">
        <v>4.85227216707748</v>
      </c>
      <c r="H711" s="11">
        <v>4.3667130721801497</v>
      </c>
    </row>
    <row r="712" spans="3:8">
      <c r="C712" s="31">
        <v>44862</v>
      </c>
      <c r="D712" s="11">
        <v>0.90537333787930496</v>
      </c>
      <c r="E712" s="11">
        <v>0.90537333787930496</v>
      </c>
      <c r="F712" s="16" t="s">
        <v>19</v>
      </c>
      <c r="G712" s="11">
        <v>4.85227216707748</v>
      </c>
      <c r="H712" s="11">
        <v>4.3667130721801497</v>
      </c>
    </row>
    <row r="713" spans="3:8">
      <c r="C713" s="31">
        <v>44861</v>
      </c>
      <c r="D713" s="11">
        <v>0.90537333787930496</v>
      </c>
      <c r="E713" s="11">
        <v>0.90537333787930496</v>
      </c>
      <c r="F713" s="16" t="s">
        <v>19</v>
      </c>
      <c r="G713" s="11">
        <v>4.85227216707748</v>
      </c>
      <c r="H713" s="11">
        <v>4.3667130721801497</v>
      </c>
    </row>
    <row r="714" spans="3:8">
      <c r="C714" s="31">
        <v>44860</v>
      </c>
      <c r="D714" s="11">
        <v>0.90537333787930496</v>
      </c>
      <c r="E714" s="11">
        <v>0.90537333787930496</v>
      </c>
      <c r="F714" s="16" t="s">
        <v>19</v>
      </c>
      <c r="G714" s="11">
        <v>4.85227216707748</v>
      </c>
      <c r="H714" s="11">
        <v>4.3667130721801497</v>
      </c>
    </row>
    <row r="715" spans="3:8">
      <c r="C715" s="31">
        <v>44859</v>
      </c>
      <c r="D715" s="11">
        <v>0.90537333787930496</v>
      </c>
      <c r="E715" s="11">
        <v>0.90537333787930496</v>
      </c>
      <c r="F715" s="16" t="s">
        <v>19</v>
      </c>
      <c r="G715" s="11">
        <v>4.85227216707748</v>
      </c>
      <c r="H715" s="11">
        <v>4.3667130721801497</v>
      </c>
    </row>
    <row r="716" spans="3:8">
      <c r="C716" s="31">
        <v>44858</v>
      </c>
      <c r="D716" s="11">
        <v>0.90537333787930496</v>
      </c>
      <c r="E716" s="11">
        <v>0.90537333787930496</v>
      </c>
      <c r="F716" s="16" t="s">
        <v>19</v>
      </c>
      <c r="G716" s="11">
        <v>4.85227216707748</v>
      </c>
      <c r="H716" s="11">
        <v>4.3667130721801497</v>
      </c>
    </row>
    <row r="717" spans="3:8">
      <c r="C717" s="31">
        <v>44855</v>
      </c>
      <c r="D717" s="11">
        <v>0.90537333787930496</v>
      </c>
      <c r="E717" s="11">
        <v>0.90537333787930496</v>
      </c>
      <c r="F717" s="16" t="s">
        <v>19</v>
      </c>
      <c r="G717" s="11">
        <v>4.85227216707748</v>
      </c>
      <c r="H717" s="11">
        <v>4.3667130721801497</v>
      </c>
    </row>
    <row r="718" spans="3:8">
      <c r="C718" s="31">
        <v>44854</v>
      </c>
      <c r="D718" s="11">
        <v>0.90537333787930496</v>
      </c>
      <c r="E718" s="11">
        <v>0.90537333787930496</v>
      </c>
      <c r="F718" s="16" t="s">
        <v>19</v>
      </c>
      <c r="G718" s="11">
        <v>4.85227216707748</v>
      </c>
      <c r="H718" s="11">
        <v>4.3667130721801497</v>
      </c>
    </row>
    <row r="719" spans="3:8">
      <c r="C719" s="31">
        <v>44853</v>
      </c>
      <c r="D719" s="11">
        <v>0.90537333787930496</v>
      </c>
      <c r="E719" s="11">
        <v>0.90537333787930496</v>
      </c>
      <c r="F719" s="16" t="s">
        <v>19</v>
      </c>
      <c r="G719" s="11">
        <v>4.85227216707748</v>
      </c>
      <c r="H719" s="11">
        <v>4.3667130721801497</v>
      </c>
    </row>
    <row r="720" spans="3:8">
      <c r="C720" s="31">
        <v>44852</v>
      </c>
      <c r="D720" s="11">
        <v>0.90537333787930496</v>
      </c>
      <c r="E720" s="11">
        <v>0.90537333787930496</v>
      </c>
      <c r="F720" s="16" t="s">
        <v>19</v>
      </c>
      <c r="G720" s="11">
        <v>4.85227216707748</v>
      </c>
      <c r="H720" s="11">
        <v>4.3667130721801497</v>
      </c>
    </row>
    <row r="721" spans="3:8">
      <c r="C721" s="31">
        <v>44851</v>
      </c>
      <c r="D721" s="11">
        <v>0.90537333787930496</v>
      </c>
      <c r="E721" s="11">
        <v>0.90537333787930496</v>
      </c>
      <c r="F721" s="16" t="s">
        <v>19</v>
      </c>
      <c r="G721" s="11">
        <v>4.85227216707748</v>
      </c>
      <c r="H721" s="11">
        <v>4.3667130721801497</v>
      </c>
    </row>
    <row r="722" spans="3:8">
      <c r="C722" s="31">
        <v>44848</v>
      </c>
      <c r="D722" s="11">
        <v>0.90537333787930496</v>
      </c>
      <c r="E722" s="11">
        <v>0.90537333787930496</v>
      </c>
      <c r="F722" s="16" t="s">
        <v>19</v>
      </c>
      <c r="G722" s="11">
        <v>4.85227216707748</v>
      </c>
      <c r="H722" s="11">
        <v>4.3667130721801497</v>
      </c>
    </row>
    <row r="723" spans="3:8">
      <c r="C723" s="31">
        <v>44847</v>
      </c>
      <c r="D723" s="11">
        <v>0.90537333787930496</v>
      </c>
      <c r="E723" s="11">
        <v>0.90537333787930496</v>
      </c>
      <c r="F723" s="16" t="s">
        <v>19</v>
      </c>
      <c r="G723" s="11">
        <v>4.85227216707748</v>
      </c>
      <c r="H723" s="11">
        <v>4.80140287318837</v>
      </c>
    </row>
    <row r="724" spans="3:8">
      <c r="C724" s="31">
        <v>44846</v>
      </c>
      <c r="D724" s="11">
        <v>0.90537333787930496</v>
      </c>
      <c r="E724" s="11">
        <v>0.90537333787930496</v>
      </c>
      <c r="F724" s="16" t="s">
        <v>19</v>
      </c>
      <c r="G724" s="11">
        <v>4.85227216707748</v>
      </c>
      <c r="H724" s="11">
        <v>4.80140287318837</v>
      </c>
    </row>
    <row r="725" spans="3:8">
      <c r="C725" s="31">
        <v>44845</v>
      </c>
      <c r="D725" s="11">
        <v>0.90537333787930496</v>
      </c>
      <c r="E725" s="11">
        <v>0.90537333787930496</v>
      </c>
      <c r="F725" s="16" t="s">
        <v>19</v>
      </c>
      <c r="G725" s="11">
        <v>5.00734497938247</v>
      </c>
      <c r="H725" s="11">
        <v>4.80140287318837</v>
      </c>
    </row>
    <row r="726" spans="3:8">
      <c r="C726" s="31">
        <v>44844</v>
      </c>
      <c r="D726" s="11">
        <v>0.90537333787930496</v>
      </c>
      <c r="E726" s="11">
        <v>0.90537333787930496</v>
      </c>
      <c r="F726" s="16" t="s">
        <v>19</v>
      </c>
      <c r="G726" s="11">
        <v>5.00734497938247</v>
      </c>
      <c r="H726" s="11">
        <v>4.80140287318837</v>
      </c>
    </row>
    <row r="727" spans="3:8">
      <c r="C727" s="31">
        <v>44841</v>
      </c>
      <c r="D727" s="11">
        <v>0.90537333787930496</v>
      </c>
      <c r="E727" s="11">
        <v>0.90537333787930496</v>
      </c>
      <c r="F727" s="16" t="s">
        <v>19</v>
      </c>
      <c r="G727" s="11">
        <v>5.2200830134142802</v>
      </c>
      <c r="H727" s="11">
        <v>4.8395286662438304</v>
      </c>
    </row>
    <row r="728" spans="3:8">
      <c r="C728" s="31">
        <v>44840</v>
      </c>
      <c r="D728" s="11">
        <v>0.90537333787930496</v>
      </c>
      <c r="E728" s="11">
        <v>0.90537333787930496</v>
      </c>
      <c r="F728" s="16" t="s">
        <v>19</v>
      </c>
      <c r="G728" s="11">
        <v>5.2200830134142802</v>
      </c>
      <c r="H728" s="11">
        <v>4.8395286662438304</v>
      </c>
    </row>
    <row r="729" spans="3:8">
      <c r="C729" s="31">
        <v>44839</v>
      </c>
      <c r="D729" s="11">
        <v>0.90537333787930496</v>
      </c>
      <c r="E729" s="11">
        <v>0.90537333787930496</v>
      </c>
      <c r="F729" s="16" t="s">
        <v>19</v>
      </c>
      <c r="G729" s="11">
        <v>5.2200830134142802</v>
      </c>
      <c r="H729" s="11">
        <v>4.8395286662438304</v>
      </c>
    </row>
    <row r="730" spans="3:8">
      <c r="C730" s="31">
        <v>44838</v>
      </c>
      <c r="D730" s="11">
        <v>0.90537333787930496</v>
      </c>
      <c r="E730" s="11">
        <v>0.90537333787930496</v>
      </c>
      <c r="F730" s="16" t="s">
        <v>19</v>
      </c>
      <c r="G730" s="11">
        <v>5.2200830134142802</v>
      </c>
      <c r="H730" s="11">
        <v>2.4627608066911599</v>
      </c>
    </row>
    <row r="731" spans="3:8">
      <c r="C731" s="31">
        <v>44837</v>
      </c>
      <c r="D731" s="11">
        <v>0.90537333787930496</v>
      </c>
      <c r="E731" s="11">
        <v>0.90537333787930496</v>
      </c>
      <c r="F731" s="16" t="s">
        <v>19</v>
      </c>
      <c r="G731" s="11">
        <v>5.2200830134142802</v>
      </c>
      <c r="H731" s="11">
        <v>2.4627608066911599</v>
      </c>
    </row>
    <row r="732" spans="3:8">
      <c r="C732" s="31">
        <v>44834</v>
      </c>
      <c r="D732" s="11">
        <v>0.90537333787930496</v>
      </c>
      <c r="E732" s="11">
        <v>0.90537333787930496</v>
      </c>
      <c r="F732" s="16" t="s">
        <v>19</v>
      </c>
      <c r="G732" s="11">
        <v>5.2200830134142802</v>
      </c>
      <c r="H732" s="11">
        <v>2.4627608066911599</v>
      </c>
    </row>
    <row r="733" spans="3:8">
      <c r="C733" s="31">
        <v>44833</v>
      </c>
      <c r="D733" s="11">
        <v>0.90537333787930496</v>
      </c>
      <c r="E733" s="11">
        <v>0.90537333787930496</v>
      </c>
      <c r="F733" s="16" t="s">
        <v>19</v>
      </c>
      <c r="G733" s="11">
        <v>6.3794123742199904</v>
      </c>
      <c r="H733" s="11">
        <v>2.4627608066911599</v>
      </c>
    </row>
    <row r="734" spans="3:8">
      <c r="C734" s="31">
        <v>44832</v>
      </c>
      <c r="D734" s="11">
        <v>0.90537333787930496</v>
      </c>
      <c r="E734" s="11">
        <v>0.90537333787930496</v>
      </c>
      <c r="F734" s="16" t="s">
        <v>19</v>
      </c>
      <c r="G734" s="11">
        <v>6.3794123742199904</v>
      </c>
      <c r="H734" s="11">
        <v>2.4627608066911599</v>
      </c>
    </row>
    <row r="735" spans="3:8">
      <c r="C735" s="31">
        <v>44831</v>
      </c>
      <c r="D735" s="11">
        <v>0.90537333787930496</v>
      </c>
      <c r="E735" s="11">
        <v>0.90537333787930496</v>
      </c>
      <c r="F735" s="16" t="s">
        <v>19</v>
      </c>
      <c r="G735" s="11">
        <v>6.3794123742199904</v>
      </c>
      <c r="H735" s="11">
        <v>2.4627608066911599</v>
      </c>
    </row>
    <row r="736" spans="3:8">
      <c r="C736" s="31">
        <v>44830</v>
      </c>
      <c r="D736" s="11">
        <v>0.90537333787930496</v>
      </c>
      <c r="E736" s="11">
        <v>0.90537333787930496</v>
      </c>
      <c r="F736" s="16" t="s">
        <v>19</v>
      </c>
      <c r="G736" s="11">
        <v>6.3794123742199904</v>
      </c>
      <c r="H736" s="11">
        <v>2.4627608066911599</v>
      </c>
    </row>
    <row r="737" spans="3:8">
      <c r="C737" s="31">
        <v>44827</v>
      </c>
      <c r="D737" s="11">
        <v>0.90537333787930496</v>
      </c>
      <c r="E737" s="11">
        <v>0.90537333787930496</v>
      </c>
      <c r="F737" s="16" t="s">
        <v>19</v>
      </c>
      <c r="G737" s="11">
        <v>6.3794123742199904</v>
      </c>
      <c r="H737" s="11">
        <v>2.4627608066911599</v>
      </c>
    </row>
    <row r="738" spans="3:8">
      <c r="C738" s="31">
        <v>44826</v>
      </c>
      <c r="D738" s="11">
        <v>0.90537333787930496</v>
      </c>
      <c r="E738" s="11">
        <v>0.90537333787930496</v>
      </c>
      <c r="F738" s="16" t="s">
        <v>19</v>
      </c>
      <c r="G738" s="11">
        <v>6.3794123742199904</v>
      </c>
      <c r="H738" s="11">
        <v>2.4627608066911599</v>
      </c>
    </row>
    <row r="739" spans="3:8">
      <c r="C739" s="31">
        <v>44825</v>
      </c>
      <c r="D739" s="11">
        <v>0.90537333787930496</v>
      </c>
      <c r="E739" s="11">
        <v>0.90537333787930496</v>
      </c>
      <c r="F739" s="16" t="s">
        <v>19</v>
      </c>
      <c r="G739" s="11">
        <v>6.3794123742199904</v>
      </c>
      <c r="H739" s="11">
        <v>2.4627608066911599</v>
      </c>
    </row>
    <row r="740" spans="3:8">
      <c r="C740" s="31">
        <v>44824</v>
      </c>
      <c r="D740" s="11">
        <v>0.90537333787930496</v>
      </c>
      <c r="E740" s="11">
        <v>0.90537333787930496</v>
      </c>
      <c r="F740" s="16" t="s">
        <v>19</v>
      </c>
      <c r="G740" s="11">
        <v>6.3794123742199904</v>
      </c>
      <c r="H740" s="11">
        <v>2.4627608066911599</v>
      </c>
    </row>
    <row r="741" spans="3:8">
      <c r="C741" s="31">
        <v>44823</v>
      </c>
      <c r="D741" s="11">
        <v>0.90537333787930496</v>
      </c>
      <c r="E741" s="11">
        <v>0.90537333787930496</v>
      </c>
      <c r="F741" s="16" t="s">
        <v>19</v>
      </c>
      <c r="G741" s="11">
        <v>6.3794123742199904</v>
      </c>
      <c r="H741" s="11">
        <v>2.4627608066911599</v>
      </c>
    </row>
    <row r="742" spans="3:8">
      <c r="C742" s="31">
        <v>44820</v>
      </c>
      <c r="D742" s="11">
        <v>0.90537333787930496</v>
      </c>
      <c r="E742" s="11">
        <v>0.90537333787930496</v>
      </c>
      <c r="F742" s="16" t="s">
        <v>19</v>
      </c>
      <c r="G742" s="11">
        <v>6.3794123742199904</v>
      </c>
      <c r="H742" s="11">
        <v>2.4627608066911599</v>
      </c>
    </row>
    <row r="743" spans="3:8">
      <c r="C743" s="31">
        <v>44819</v>
      </c>
      <c r="D743" s="11">
        <v>0.90537333787930496</v>
      </c>
      <c r="E743" s="11">
        <v>0.90537333787930496</v>
      </c>
      <c r="F743" s="16" t="s">
        <v>19</v>
      </c>
      <c r="G743" s="11">
        <v>6.3794123742199904</v>
      </c>
      <c r="H743" s="11">
        <v>2.4627608066911599</v>
      </c>
    </row>
    <row r="744" spans="3:8">
      <c r="C744" s="31">
        <v>44818</v>
      </c>
      <c r="D744" s="11">
        <v>0.90537333787930496</v>
      </c>
      <c r="E744" s="11">
        <v>0.90537333787930496</v>
      </c>
      <c r="F744" s="16" t="s">
        <v>19</v>
      </c>
      <c r="G744" s="11">
        <v>6.3794123742199904</v>
      </c>
      <c r="H744" s="11">
        <v>2.4627608066911599</v>
      </c>
    </row>
    <row r="745" spans="3:8">
      <c r="C745" s="31">
        <v>44817</v>
      </c>
      <c r="D745" s="11">
        <v>0.90537333787930496</v>
      </c>
      <c r="E745" s="11">
        <v>0.90537333787930496</v>
      </c>
      <c r="F745" s="16" t="s">
        <v>19</v>
      </c>
      <c r="G745" s="11">
        <v>6.3794123742199904</v>
      </c>
      <c r="H745" s="11">
        <v>2.4627608066911599</v>
      </c>
    </row>
    <row r="746" spans="3:8">
      <c r="C746" s="31">
        <v>44816</v>
      </c>
      <c r="D746" s="11">
        <v>0.90537333787930496</v>
      </c>
      <c r="E746" s="11">
        <v>0.90537333787930496</v>
      </c>
      <c r="F746" s="16" t="s">
        <v>19</v>
      </c>
      <c r="G746" s="11">
        <v>6.3794123742199904</v>
      </c>
      <c r="H746" s="11">
        <v>2.4627608066911599</v>
      </c>
    </row>
    <row r="747" spans="3:8">
      <c r="C747" s="31">
        <v>44813</v>
      </c>
      <c r="D747" s="11">
        <v>0.90537333787930496</v>
      </c>
      <c r="E747" s="11">
        <v>0.90537333787930496</v>
      </c>
      <c r="F747" s="16" t="s">
        <v>19</v>
      </c>
      <c r="G747" s="11">
        <v>6.3794123742199904</v>
      </c>
      <c r="H747" s="11">
        <v>2.4627608066911599</v>
      </c>
    </row>
    <row r="748" spans="3:8">
      <c r="C748" s="31">
        <v>44812</v>
      </c>
      <c r="D748" s="11">
        <v>0.90537333787930496</v>
      </c>
      <c r="E748" s="11">
        <v>0.90537333787930496</v>
      </c>
      <c r="F748" s="16" t="s">
        <v>19</v>
      </c>
      <c r="G748" s="11">
        <v>6.3794123742199904</v>
      </c>
      <c r="H748" s="11">
        <v>2.4627608066911599</v>
      </c>
    </row>
    <row r="749" spans="3:8">
      <c r="C749" s="31">
        <v>44811</v>
      </c>
      <c r="D749" s="11">
        <v>0.90537333787930496</v>
      </c>
      <c r="E749" s="11">
        <v>0.90537333787930496</v>
      </c>
      <c r="F749" s="16" t="s">
        <v>19</v>
      </c>
      <c r="G749" s="11">
        <v>6.3794123742199904</v>
      </c>
      <c r="H749" s="11">
        <v>2.4627608066911599</v>
      </c>
    </row>
    <row r="750" spans="3:8">
      <c r="C750" s="31">
        <v>44810</v>
      </c>
      <c r="D750" s="11">
        <v>0.90537333787930496</v>
      </c>
      <c r="E750" s="11">
        <v>0.90537333787930496</v>
      </c>
      <c r="F750" s="16" t="s">
        <v>19</v>
      </c>
      <c r="G750" s="11">
        <v>6.3794123742199904</v>
      </c>
      <c r="H750" s="11">
        <v>2.4627608066911599</v>
      </c>
    </row>
    <row r="751" spans="3:8">
      <c r="C751" s="31">
        <v>44809</v>
      </c>
      <c r="D751" s="11">
        <v>0.90537333787930496</v>
      </c>
      <c r="E751" s="11">
        <v>0.90537333787930496</v>
      </c>
      <c r="F751" s="16" t="s">
        <v>19</v>
      </c>
      <c r="G751" s="11">
        <v>6.3794123742199904</v>
      </c>
      <c r="H751" s="11">
        <v>2.4627608066911599</v>
      </c>
    </row>
    <row r="752" spans="3:8">
      <c r="C752" s="31">
        <v>44806</v>
      </c>
      <c r="D752" s="11">
        <v>0.90537333787930496</v>
      </c>
      <c r="E752" s="11">
        <v>0.90537333787930496</v>
      </c>
      <c r="F752" s="16" t="s">
        <v>19</v>
      </c>
      <c r="G752" s="11">
        <v>2.61364758722218</v>
      </c>
      <c r="H752" s="11">
        <v>2.4627608066911599</v>
      </c>
    </row>
    <row r="753" spans="3:8">
      <c r="C753" s="31">
        <v>44805</v>
      </c>
      <c r="D753" s="11">
        <v>0.90537333787930496</v>
      </c>
      <c r="E753" s="11">
        <v>0.90537333787930496</v>
      </c>
      <c r="F753" s="16" t="s">
        <v>19</v>
      </c>
      <c r="G753" s="11">
        <v>2.61364758722218</v>
      </c>
      <c r="H753" s="11">
        <v>2.4627608066911599</v>
      </c>
    </row>
    <row r="754" spans="3:8">
      <c r="C754" s="31">
        <v>44804</v>
      </c>
      <c r="D754" s="11">
        <v>0.90537333787930496</v>
      </c>
      <c r="E754" s="11">
        <v>0.90537333787930496</v>
      </c>
      <c r="F754" s="16" t="s">
        <v>19</v>
      </c>
      <c r="G754" s="11">
        <v>2.61364758722218</v>
      </c>
      <c r="H754" s="11">
        <v>2.4627608066911599</v>
      </c>
    </row>
    <row r="755" spans="3:8">
      <c r="C755" s="31">
        <v>44803</v>
      </c>
      <c r="D755" s="11">
        <v>0.90537333787930496</v>
      </c>
      <c r="E755" s="11">
        <v>0.90537333787930496</v>
      </c>
      <c r="F755" s="16" t="s">
        <v>19</v>
      </c>
      <c r="G755" s="11">
        <v>2.61364758722218</v>
      </c>
      <c r="H755" s="11">
        <v>2.4627608066911599</v>
      </c>
    </row>
    <row r="756" spans="3:8">
      <c r="C756" s="31">
        <v>44802</v>
      </c>
      <c r="D756" s="11">
        <v>0.90537333787930496</v>
      </c>
      <c r="E756" s="11">
        <v>0.90537333787930496</v>
      </c>
      <c r="F756" s="16" t="s">
        <v>19</v>
      </c>
      <c r="G756" s="11">
        <v>2.61364758722218</v>
      </c>
      <c r="H756" s="11">
        <v>2.4627608066911599</v>
      </c>
    </row>
    <row r="757" spans="3:8">
      <c r="C757" s="31">
        <v>44799</v>
      </c>
      <c r="D757" s="11">
        <v>0.90537333787930496</v>
      </c>
      <c r="E757" s="11">
        <v>0.90537333787930496</v>
      </c>
      <c r="F757" s="16" t="s">
        <v>19</v>
      </c>
      <c r="G757" s="11">
        <v>2.61364758722218</v>
      </c>
      <c r="H757" s="11">
        <v>2.4627608066911599</v>
      </c>
    </row>
    <row r="758" spans="3:8">
      <c r="C758" s="31">
        <v>44798</v>
      </c>
      <c r="D758" s="11">
        <v>0.90537333787930496</v>
      </c>
      <c r="E758" s="11">
        <v>0.90537333787930496</v>
      </c>
      <c r="F758" s="16" t="s">
        <v>19</v>
      </c>
      <c r="G758" s="11">
        <v>2.61364758722218</v>
      </c>
      <c r="H758" s="11">
        <v>2.4627608066911599</v>
      </c>
    </row>
    <row r="759" spans="3:8">
      <c r="C759" s="31">
        <v>44797</v>
      </c>
      <c r="D759" s="11">
        <v>0.90537333787930496</v>
      </c>
      <c r="E759" s="11">
        <v>0.90537333787930496</v>
      </c>
      <c r="F759" s="16" t="s">
        <v>19</v>
      </c>
      <c r="G759" s="11">
        <v>2.61364758722218</v>
      </c>
      <c r="H759" s="11">
        <v>2.4627608066911599</v>
      </c>
    </row>
    <row r="760" spans="3:8">
      <c r="C760" s="31">
        <v>44796</v>
      </c>
      <c r="D760" s="11">
        <v>0.90537333787930496</v>
      </c>
      <c r="E760" s="11">
        <v>0.90537333787930496</v>
      </c>
      <c r="F760" s="16" t="s">
        <v>19</v>
      </c>
      <c r="G760" s="11">
        <v>2.61364758722218</v>
      </c>
      <c r="H760" s="11">
        <v>2.4627608066911599</v>
      </c>
    </row>
    <row r="761" spans="3:8">
      <c r="C761" s="31">
        <v>44795</v>
      </c>
      <c r="D761" s="11">
        <v>0.90537333787930496</v>
      </c>
      <c r="E761" s="11">
        <v>0.90537333787930496</v>
      </c>
      <c r="F761" s="16" t="s">
        <v>19</v>
      </c>
      <c r="G761" s="11">
        <v>2.61364758722218</v>
      </c>
      <c r="H761" s="11">
        <v>2.4627608066911599</v>
      </c>
    </row>
    <row r="762" spans="3:8">
      <c r="C762" s="31">
        <v>44792</v>
      </c>
      <c r="D762" s="11">
        <v>0.90537333787930496</v>
      </c>
      <c r="E762" s="11">
        <v>0.90537333787930496</v>
      </c>
      <c r="F762" s="16" t="s">
        <v>19</v>
      </c>
      <c r="G762" s="11">
        <v>2.61364758722218</v>
      </c>
      <c r="H762" s="11">
        <v>2.4627608066911599</v>
      </c>
    </row>
    <row r="763" spans="3:8">
      <c r="C763" s="31">
        <v>44791</v>
      </c>
      <c r="D763" s="11">
        <v>0.90537333787930496</v>
      </c>
      <c r="E763" s="11">
        <v>0.90537333787930496</v>
      </c>
      <c r="F763" s="16" t="s">
        <v>19</v>
      </c>
      <c r="G763" s="11">
        <v>2.61364758722218</v>
      </c>
      <c r="H763" s="11">
        <v>2.4627608066911599</v>
      </c>
    </row>
    <row r="764" spans="3:8">
      <c r="C764" s="31">
        <v>44790</v>
      </c>
      <c r="D764" s="11">
        <v>0.90537333787930496</v>
      </c>
      <c r="E764" s="11">
        <v>0.90537333787930496</v>
      </c>
      <c r="F764" s="16" t="s">
        <v>19</v>
      </c>
      <c r="G764" s="11">
        <v>2.61364758722218</v>
      </c>
      <c r="H764" s="11">
        <v>2.4627608066911599</v>
      </c>
    </row>
    <row r="765" spans="3:8">
      <c r="C765" s="31">
        <v>44789</v>
      </c>
      <c r="D765" s="11">
        <v>0.90537333787930496</v>
      </c>
      <c r="E765" s="11">
        <v>0.90537333787930496</v>
      </c>
      <c r="F765" s="16" t="s">
        <v>19</v>
      </c>
      <c r="G765" s="11">
        <v>2.61364758722218</v>
      </c>
      <c r="H765" s="11">
        <v>2.4627608066911599</v>
      </c>
    </row>
    <row r="766" spans="3:8">
      <c r="C766" s="31">
        <v>44788</v>
      </c>
      <c r="D766" s="11">
        <v>0.90537333787930496</v>
      </c>
      <c r="E766" s="11">
        <v>0.90537333787930496</v>
      </c>
      <c r="F766" s="16" t="s">
        <v>19</v>
      </c>
      <c r="G766" s="11">
        <v>2.61364758722218</v>
      </c>
      <c r="H766" s="11">
        <v>2.4627608066911599</v>
      </c>
    </row>
    <row r="767" spans="3:8">
      <c r="C767" s="31">
        <v>44785</v>
      </c>
      <c r="D767" s="11">
        <v>0.90537333787930496</v>
      </c>
      <c r="E767" s="11">
        <v>0.90537333787930496</v>
      </c>
      <c r="F767" s="16" t="s">
        <v>19</v>
      </c>
      <c r="G767" s="11">
        <v>2.61364758722218</v>
      </c>
      <c r="H767" s="11">
        <v>2.4627608066911599</v>
      </c>
    </row>
    <row r="768" spans="3:8">
      <c r="C768" s="31">
        <v>44784</v>
      </c>
      <c r="D768" s="11">
        <v>0.90537333787930496</v>
      </c>
      <c r="E768" s="11">
        <v>0.90537333787930496</v>
      </c>
      <c r="F768" s="16" t="s">
        <v>19</v>
      </c>
      <c r="G768" s="11">
        <v>2.61364758722218</v>
      </c>
      <c r="H768" s="11">
        <v>2.4627608066911599</v>
      </c>
    </row>
    <row r="769" spans="3:8">
      <c r="C769" s="31">
        <v>44783</v>
      </c>
      <c r="D769" s="11">
        <v>0.90537333787930496</v>
      </c>
      <c r="E769" s="11">
        <v>0.90537333787930496</v>
      </c>
      <c r="F769" s="16" t="s">
        <v>19</v>
      </c>
      <c r="G769" s="11">
        <v>2.61364758722218</v>
      </c>
      <c r="H769" s="11">
        <v>2.4627608066911599</v>
      </c>
    </row>
    <row r="770" spans="3:8">
      <c r="C770" s="31">
        <v>44782</v>
      </c>
      <c r="D770" s="11">
        <v>0.90537333787930496</v>
      </c>
      <c r="E770" s="11">
        <v>0.90537333787930496</v>
      </c>
      <c r="F770" s="16" t="s">
        <v>19</v>
      </c>
      <c r="G770" s="11">
        <v>2.61364758722218</v>
      </c>
      <c r="H770" s="11">
        <v>2.4627608066911599</v>
      </c>
    </row>
    <row r="771" spans="3:8">
      <c r="C771" s="31">
        <v>44781</v>
      </c>
      <c r="D771" s="11">
        <v>0.90537333787930496</v>
      </c>
      <c r="E771" s="11">
        <v>0.90537333787930496</v>
      </c>
      <c r="F771" s="16" t="s">
        <v>19</v>
      </c>
      <c r="G771" s="11">
        <v>2.61364758722218</v>
      </c>
      <c r="H771" s="11">
        <v>2.4627608066911599</v>
      </c>
    </row>
    <row r="772" spans="3:8">
      <c r="C772" s="31">
        <v>44778</v>
      </c>
      <c r="D772" s="11">
        <v>0.90537333787930496</v>
      </c>
      <c r="E772" s="11">
        <v>0.90537333787930496</v>
      </c>
      <c r="F772" s="16" t="s">
        <v>19</v>
      </c>
      <c r="G772" s="11">
        <v>2.61364758722218</v>
      </c>
      <c r="H772" s="11">
        <v>2.4627608066911599</v>
      </c>
    </row>
    <row r="773" spans="3:8">
      <c r="C773" s="31">
        <v>44777</v>
      </c>
      <c r="D773" s="11">
        <v>0.90537333787930496</v>
      </c>
      <c r="E773" s="11">
        <v>0.90537333787930496</v>
      </c>
      <c r="F773" s="16" t="s">
        <v>19</v>
      </c>
      <c r="G773" s="11">
        <v>2.61364758722218</v>
      </c>
      <c r="H773" s="11">
        <v>2.4627608066911599</v>
      </c>
    </row>
    <row r="774" spans="3:8">
      <c r="C774" s="31">
        <v>44776</v>
      </c>
      <c r="D774" s="11">
        <v>0.90537333787930496</v>
      </c>
      <c r="E774" s="11">
        <v>0.90537333787930496</v>
      </c>
      <c r="F774" s="16" t="s">
        <v>19</v>
      </c>
      <c r="G774" s="11">
        <v>2.61364758722218</v>
      </c>
      <c r="H774" s="11">
        <v>2.4627608066911599</v>
      </c>
    </row>
    <row r="775" spans="3:8">
      <c r="C775" s="31">
        <v>44775</v>
      </c>
      <c r="D775" s="11">
        <v>0.90537333787930496</v>
      </c>
      <c r="E775" s="11">
        <v>0.90537333787930496</v>
      </c>
      <c r="F775" s="16" t="s">
        <v>19</v>
      </c>
      <c r="G775" s="11">
        <v>2.61364758722218</v>
      </c>
      <c r="H775" s="11">
        <v>2.4627608066911599</v>
      </c>
    </row>
    <row r="776" spans="3:8">
      <c r="C776" s="31">
        <v>44774</v>
      </c>
      <c r="D776" s="11">
        <v>0.90537333787930496</v>
      </c>
      <c r="E776" s="11">
        <v>0.90537333787930496</v>
      </c>
      <c r="F776" s="16" t="s">
        <v>19</v>
      </c>
      <c r="G776" s="11">
        <v>2.61364758722218</v>
      </c>
      <c r="H776" s="11">
        <v>2.4627608066911599</v>
      </c>
    </row>
    <row r="777" spans="3:8">
      <c r="C777" s="31">
        <v>44771</v>
      </c>
      <c r="D777" s="11">
        <v>0.90537333787930496</v>
      </c>
      <c r="E777" s="11">
        <v>0.90537333787930496</v>
      </c>
      <c r="F777" s="16" t="s">
        <v>19</v>
      </c>
      <c r="G777" s="11">
        <v>2.61364758722218</v>
      </c>
      <c r="H777" s="11">
        <v>2.4627608066911599</v>
      </c>
    </row>
    <row r="778" spans="3:8">
      <c r="C778" s="31">
        <v>44770</v>
      </c>
      <c r="D778" s="11">
        <v>0.90537333787930496</v>
      </c>
      <c r="E778" s="11">
        <v>0.90537333787930496</v>
      </c>
      <c r="F778" s="16" t="s">
        <v>19</v>
      </c>
      <c r="G778" s="11">
        <v>2.61364758722218</v>
      </c>
      <c r="H778" s="11">
        <v>2.4627608066911599</v>
      </c>
    </row>
    <row r="779" spans="3:8">
      <c r="C779" s="31">
        <v>44769</v>
      </c>
      <c r="D779" s="11">
        <v>0.90537333787930496</v>
      </c>
      <c r="E779" s="11">
        <v>0.90537333787930496</v>
      </c>
      <c r="F779" s="16" t="s">
        <v>19</v>
      </c>
      <c r="G779" s="11">
        <v>2.61364758722218</v>
      </c>
      <c r="H779" s="11">
        <v>2.4627608066911599</v>
      </c>
    </row>
    <row r="780" spans="3:8">
      <c r="C780" s="31">
        <v>44768</v>
      </c>
      <c r="D780" s="11">
        <v>0.90537333787930496</v>
      </c>
      <c r="E780" s="11">
        <v>0.90537333787930496</v>
      </c>
      <c r="F780" s="16" t="s">
        <v>19</v>
      </c>
      <c r="G780" s="11">
        <v>2.61364758722218</v>
      </c>
      <c r="H780" s="11">
        <v>2.4627608066911599</v>
      </c>
    </row>
    <row r="781" spans="3:8">
      <c r="C781" s="31">
        <v>44767</v>
      </c>
      <c r="D781" s="11">
        <v>0.90537333787930496</v>
      </c>
      <c r="E781" s="11">
        <v>0.90537333787930496</v>
      </c>
      <c r="F781" s="16" t="s">
        <v>19</v>
      </c>
      <c r="G781" s="11">
        <v>2.61364758722218</v>
      </c>
      <c r="H781" s="11">
        <v>2.4627608066911599</v>
      </c>
    </row>
    <row r="782" spans="3:8">
      <c r="C782" s="31">
        <v>44764</v>
      </c>
      <c r="D782" s="11">
        <v>0.90537333787930496</v>
      </c>
      <c r="E782" s="11">
        <v>0.90537333787930496</v>
      </c>
      <c r="F782" s="16" t="s">
        <v>19</v>
      </c>
      <c r="G782" s="11">
        <v>2.61364758722218</v>
      </c>
      <c r="H782" s="11">
        <v>2.4627608066911599</v>
      </c>
    </row>
    <row r="783" spans="3:8">
      <c r="C783" s="31">
        <v>44763</v>
      </c>
      <c r="D783" s="11">
        <v>0.90537333787930496</v>
      </c>
      <c r="E783" s="11">
        <v>0.90537333787930496</v>
      </c>
      <c r="F783" s="16" t="s">
        <v>19</v>
      </c>
      <c r="G783" s="11">
        <v>2.61364758722218</v>
      </c>
      <c r="H783" s="11">
        <v>2.4627608066911599</v>
      </c>
    </row>
    <row r="784" spans="3:8">
      <c r="C784" s="31">
        <v>44762</v>
      </c>
      <c r="D784" s="11">
        <v>0.90537333787930496</v>
      </c>
      <c r="E784" s="11">
        <v>0.90537333787930496</v>
      </c>
      <c r="F784" s="16" t="s">
        <v>19</v>
      </c>
      <c r="G784" s="11">
        <v>2.61364758722218</v>
      </c>
      <c r="H784" s="11">
        <v>2.4627608066911599</v>
      </c>
    </row>
    <row r="785" spans="3:8">
      <c r="C785" s="31">
        <v>44761</v>
      </c>
      <c r="D785" s="11">
        <v>0.90537333787930496</v>
      </c>
      <c r="E785" s="11">
        <v>0.90537333787930496</v>
      </c>
      <c r="F785" s="16" t="s">
        <v>19</v>
      </c>
      <c r="G785" s="11">
        <v>2.61364758722218</v>
      </c>
      <c r="H785" s="11">
        <v>2.4627608066911599</v>
      </c>
    </row>
    <row r="786" spans="3:8">
      <c r="C786" s="31">
        <v>44760</v>
      </c>
      <c r="D786" s="11">
        <v>0.90537333787930496</v>
      </c>
      <c r="E786" s="11">
        <v>0.90537333787930496</v>
      </c>
      <c r="F786" s="16" t="s">
        <v>19</v>
      </c>
      <c r="G786" s="11">
        <v>2.61364758722218</v>
      </c>
      <c r="H786" s="11">
        <v>2.4627608066911599</v>
      </c>
    </row>
    <row r="787" spans="3:8">
      <c r="C787" s="31">
        <v>44757</v>
      </c>
      <c r="D787" s="11">
        <v>0.90537333787930496</v>
      </c>
      <c r="E787" s="11">
        <v>0.90537333787930496</v>
      </c>
      <c r="F787" s="16" t="s">
        <v>19</v>
      </c>
      <c r="G787" s="11">
        <v>2.61364758722218</v>
      </c>
      <c r="H787" s="11">
        <v>2.4627608066911599</v>
      </c>
    </row>
    <row r="788" spans="3:8">
      <c r="C788" s="31">
        <v>44756</v>
      </c>
      <c r="D788" s="11">
        <v>0.90537333787930496</v>
      </c>
      <c r="E788" s="11">
        <v>0.90537333787930496</v>
      </c>
      <c r="F788" s="16" t="s">
        <v>19</v>
      </c>
      <c r="G788" s="11">
        <v>2.61364758722218</v>
      </c>
      <c r="H788" s="11">
        <v>2.4627608066911599</v>
      </c>
    </row>
    <row r="789" spans="3:8">
      <c r="C789" s="31">
        <v>44755</v>
      </c>
      <c r="D789" s="11">
        <v>0.90537333787930496</v>
      </c>
      <c r="E789" s="11">
        <v>0.90537333787930496</v>
      </c>
      <c r="F789" s="16" t="s">
        <v>19</v>
      </c>
      <c r="G789" s="11">
        <v>2.61364758722218</v>
      </c>
      <c r="H789" s="11">
        <v>2.4627608066911599</v>
      </c>
    </row>
    <row r="790" spans="3:8">
      <c r="C790" s="31">
        <v>44754</v>
      </c>
      <c r="D790" s="11">
        <v>0.90537333787930496</v>
      </c>
      <c r="E790" s="11">
        <v>0.90537333787930496</v>
      </c>
      <c r="F790" s="16" t="s">
        <v>19</v>
      </c>
      <c r="G790" s="11">
        <v>2.61364758722218</v>
      </c>
      <c r="H790" s="11">
        <v>2.4627608066911599</v>
      </c>
    </row>
    <row r="791" spans="3:8">
      <c r="C791" s="31">
        <v>44753</v>
      </c>
      <c r="D791" s="11">
        <v>0.90537333787930496</v>
      </c>
      <c r="E791" s="11">
        <v>0.90537333787930496</v>
      </c>
      <c r="F791" s="16" t="s">
        <v>19</v>
      </c>
      <c r="G791" s="11">
        <v>2.61364758722218</v>
      </c>
      <c r="H791" s="11">
        <v>2.4627608066911599</v>
      </c>
    </row>
    <row r="792" spans="3:8">
      <c r="C792" s="31">
        <v>44750</v>
      </c>
      <c r="D792" s="11">
        <v>0.90537333787930496</v>
      </c>
      <c r="E792" s="11">
        <v>0.90537333787930496</v>
      </c>
      <c r="F792" s="16" t="s">
        <v>19</v>
      </c>
      <c r="G792" s="11">
        <v>2.61364758722218</v>
      </c>
      <c r="H792" s="11">
        <v>2.4627608066911599</v>
      </c>
    </row>
    <row r="793" spans="3:8">
      <c r="C793" s="31">
        <v>44749</v>
      </c>
      <c r="D793" s="11">
        <v>0.90537333787930496</v>
      </c>
      <c r="E793" s="11">
        <v>0.90537333787930496</v>
      </c>
      <c r="F793" s="16" t="s">
        <v>19</v>
      </c>
      <c r="G793" s="11">
        <v>2.61364758722218</v>
      </c>
      <c r="H793" s="11">
        <v>2.4627608066911599</v>
      </c>
    </row>
    <row r="794" spans="3:8">
      <c r="C794" s="31">
        <v>44748</v>
      </c>
      <c r="D794" s="11">
        <v>0.90537333787930496</v>
      </c>
      <c r="E794" s="11">
        <v>0.90537333787930496</v>
      </c>
      <c r="F794" s="16" t="s">
        <v>19</v>
      </c>
      <c r="G794" s="11">
        <v>2.61364758722218</v>
      </c>
      <c r="H794" s="11">
        <v>2.4627608066911599</v>
      </c>
    </row>
    <row r="795" spans="3:8">
      <c r="C795" s="31">
        <v>44747</v>
      </c>
      <c r="D795" s="11">
        <v>0.90537333787930496</v>
      </c>
      <c r="E795" s="11">
        <v>0.90537333787930496</v>
      </c>
      <c r="F795" s="16" t="s">
        <v>19</v>
      </c>
      <c r="G795" s="11">
        <v>2.61364758722218</v>
      </c>
      <c r="H795" s="11">
        <v>2.4627608066911599</v>
      </c>
    </row>
    <row r="796" spans="3:8">
      <c r="C796" s="31">
        <v>44746</v>
      </c>
      <c r="D796" s="11">
        <v>0.90537333787930496</v>
      </c>
      <c r="E796" s="11">
        <v>0.90537333787930496</v>
      </c>
      <c r="F796" s="16" t="s">
        <v>19</v>
      </c>
      <c r="G796" s="11">
        <v>2.61364758722218</v>
      </c>
      <c r="H796" s="11">
        <v>2.4627608066911599</v>
      </c>
    </row>
    <row r="797" spans="3:8">
      <c r="C797" s="31">
        <v>44743</v>
      </c>
      <c r="D797" s="11">
        <v>0.90537333787930496</v>
      </c>
      <c r="E797" s="11">
        <v>0.90537333787930496</v>
      </c>
      <c r="F797" s="16" t="s">
        <v>19</v>
      </c>
      <c r="G797" s="11">
        <v>2.61364758722218</v>
      </c>
      <c r="H797" s="11">
        <v>2.4627608066911599</v>
      </c>
    </row>
    <row r="798" spans="3:8">
      <c r="C798" s="31">
        <v>44742</v>
      </c>
      <c r="D798" s="11">
        <v>0.90537333787930496</v>
      </c>
      <c r="E798" s="11">
        <v>0.90537333787930496</v>
      </c>
      <c r="F798" s="16" t="s">
        <v>19</v>
      </c>
      <c r="G798" s="11">
        <v>2.61364758722218</v>
      </c>
      <c r="H798" s="11">
        <v>2.4627608066911599</v>
      </c>
    </row>
    <row r="799" spans="3:8">
      <c r="C799" s="31">
        <v>44741</v>
      </c>
      <c r="D799" s="11">
        <v>0.90537333787930496</v>
      </c>
      <c r="E799" s="11">
        <v>0.90537333787930496</v>
      </c>
      <c r="F799" s="16" t="s">
        <v>19</v>
      </c>
      <c r="G799" s="11">
        <v>2.61364758722218</v>
      </c>
      <c r="H799" s="11">
        <v>2.4627608066911599</v>
      </c>
    </row>
    <row r="800" spans="3:8">
      <c r="C800" s="31">
        <v>44740</v>
      </c>
      <c r="D800" s="11">
        <v>0.90537333787930496</v>
      </c>
      <c r="E800" s="11">
        <v>0.90537333787930496</v>
      </c>
      <c r="F800" s="16" t="s">
        <v>19</v>
      </c>
      <c r="G800" s="11">
        <v>2.61364758722218</v>
      </c>
      <c r="H800" s="11">
        <v>2.4627608066911599</v>
      </c>
    </row>
    <row r="801" spans="3:8">
      <c r="C801" s="31">
        <v>44739</v>
      </c>
      <c r="D801" s="11">
        <v>0.90537333787930496</v>
      </c>
      <c r="E801" s="11">
        <v>0.90537333787930496</v>
      </c>
      <c r="F801" s="16" t="s">
        <v>19</v>
      </c>
      <c r="G801" s="11">
        <v>2.61364758722218</v>
      </c>
      <c r="H801" s="11">
        <v>2.4627608066911599</v>
      </c>
    </row>
    <row r="802" spans="3:8">
      <c r="C802" s="31">
        <v>44736</v>
      </c>
      <c r="D802" s="11">
        <v>0.90537333787930496</v>
      </c>
      <c r="E802" s="11">
        <v>0.90537333787930496</v>
      </c>
      <c r="F802" s="16" t="s">
        <v>19</v>
      </c>
      <c r="G802" s="11">
        <v>2.61364758722218</v>
      </c>
      <c r="H802" s="11">
        <v>2.4627608066911599</v>
      </c>
    </row>
    <row r="803" spans="3:8">
      <c r="C803" s="31">
        <v>44735</v>
      </c>
      <c r="D803" s="11">
        <v>0.90537333787930496</v>
      </c>
      <c r="E803" s="11">
        <v>0.90537333787930496</v>
      </c>
      <c r="F803" s="16" t="s">
        <v>19</v>
      </c>
      <c r="G803" s="11">
        <v>2.61364758722218</v>
      </c>
      <c r="H803" s="11">
        <v>2.4627608066911599</v>
      </c>
    </row>
    <row r="804" spans="3:8">
      <c r="C804" s="31">
        <v>44734</v>
      </c>
      <c r="D804" s="11">
        <v>0.90537333787930496</v>
      </c>
      <c r="E804" s="11">
        <v>0.90537333787930496</v>
      </c>
      <c r="F804" s="16" t="s">
        <v>19</v>
      </c>
      <c r="G804" s="11">
        <v>2.61364758722218</v>
      </c>
      <c r="H804" s="11">
        <v>2.4627608066911599</v>
      </c>
    </row>
    <row r="805" spans="3:8">
      <c r="C805" s="31">
        <v>44733</v>
      </c>
      <c r="D805" s="11">
        <v>0.90537333787930496</v>
      </c>
      <c r="E805" s="11">
        <v>0.90537333787930496</v>
      </c>
      <c r="F805" s="16" t="s">
        <v>19</v>
      </c>
      <c r="G805" s="11">
        <v>2.61364758722218</v>
      </c>
      <c r="H805" s="11">
        <v>2.4627608066911599</v>
      </c>
    </row>
    <row r="806" spans="3:8">
      <c r="C806" s="31">
        <v>44732</v>
      </c>
      <c r="D806" s="11">
        <v>0.90537333787930496</v>
      </c>
      <c r="E806" s="11">
        <v>0.90537333787930496</v>
      </c>
      <c r="F806" s="16" t="s">
        <v>19</v>
      </c>
      <c r="G806" s="11">
        <v>2.61364758722218</v>
      </c>
      <c r="H806" s="11">
        <v>2.4627608066911599</v>
      </c>
    </row>
    <row r="807" spans="3:8">
      <c r="C807" s="31">
        <v>44729</v>
      </c>
      <c r="D807" s="11">
        <v>0.90537333787930496</v>
      </c>
      <c r="E807" s="11">
        <v>0.90537333787930496</v>
      </c>
      <c r="F807" s="16" t="s">
        <v>19</v>
      </c>
      <c r="G807" s="11">
        <v>2.61364758722218</v>
      </c>
      <c r="H807" s="11">
        <v>2.4627608066911599</v>
      </c>
    </row>
    <row r="808" spans="3:8">
      <c r="C808" s="31">
        <v>44728</v>
      </c>
      <c r="D808" s="11">
        <v>0.90537333787930496</v>
      </c>
      <c r="E808" s="11">
        <v>0.90537333787930496</v>
      </c>
      <c r="F808" s="16" t="s">
        <v>19</v>
      </c>
      <c r="G808" s="11">
        <v>2.61364758722218</v>
      </c>
      <c r="H808" s="11">
        <v>2.4627608066911599</v>
      </c>
    </row>
    <row r="809" spans="3:8">
      <c r="C809" s="31">
        <v>44727</v>
      </c>
      <c r="D809" s="11">
        <v>0.90537333787930496</v>
      </c>
      <c r="E809" s="11">
        <v>0.90537333787930496</v>
      </c>
      <c r="F809" s="16" t="s">
        <v>19</v>
      </c>
      <c r="G809" s="11">
        <v>2.61364758722218</v>
      </c>
      <c r="H809" s="11">
        <v>2.4627608066911599</v>
      </c>
    </row>
    <row r="810" spans="3:8">
      <c r="C810" s="31">
        <v>44726</v>
      </c>
      <c r="D810" s="11">
        <v>0.90537333787930496</v>
      </c>
      <c r="E810" s="11">
        <v>0.90537333787930496</v>
      </c>
      <c r="F810" s="16" t="s">
        <v>19</v>
      </c>
      <c r="G810" s="11">
        <v>2.61364758722218</v>
      </c>
      <c r="H810" s="11">
        <v>2.4627608066911599</v>
      </c>
    </row>
    <row r="811" spans="3:8">
      <c r="C811" s="31">
        <v>44725</v>
      </c>
      <c r="D811" s="11">
        <v>0.90537333787930496</v>
      </c>
      <c r="E811" s="11">
        <v>0.90537333787930496</v>
      </c>
      <c r="F811" s="16" t="s">
        <v>19</v>
      </c>
      <c r="G811" s="11">
        <v>2.61364758722218</v>
      </c>
      <c r="H811" s="11">
        <v>2.4627608066911599</v>
      </c>
    </row>
    <row r="812" spans="3:8">
      <c r="C812" s="31">
        <v>44722</v>
      </c>
      <c r="D812" s="11">
        <v>0.90537333787930496</v>
      </c>
      <c r="E812" s="11">
        <v>0.90537333787930496</v>
      </c>
      <c r="F812" s="16" t="s">
        <v>19</v>
      </c>
      <c r="G812" s="11">
        <v>2.61364758722218</v>
      </c>
      <c r="H812" s="11">
        <v>2.4627608066911599</v>
      </c>
    </row>
    <row r="813" spans="3:8">
      <c r="C813" s="31">
        <v>44721</v>
      </c>
      <c r="D813" s="11">
        <v>0.90537333787930496</v>
      </c>
      <c r="E813" s="11">
        <v>0.90537333787930496</v>
      </c>
      <c r="F813" s="16" t="s">
        <v>19</v>
      </c>
      <c r="G813" s="11">
        <v>2.61364758722218</v>
      </c>
      <c r="H813" s="11">
        <v>2.4627608066911599</v>
      </c>
    </row>
    <row r="814" spans="3:8">
      <c r="C814" s="31">
        <v>44720</v>
      </c>
      <c r="D814" s="11">
        <v>0.90537333787930496</v>
      </c>
      <c r="E814" s="11">
        <v>0.90537333787930496</v>
      </c>
      <c r="F814" s="16" t="s">
        <v>19</v>
      </c>
      <c r="G814" s="11">
        <v>2.61364758722218</v>
      </c>
      <c r="H814" s="11">
        <v>2.4627608066911599</v>
      </c>
    </row>
    <row r="815" spans="3:8">
      <c r="C815" s="31">
        <v>44719</v>
      </c>
      <c r="D815" s="11">
        <v>0.90537333787930496</v>
      </c>
      <c r="E815" s="11">
        <v>0.90537333787930496</v>
      </c>
      <c r="F815" s="16" t="s">
        <v>19</v>
      </c>
      <c r="G815" s="11">
        <v>2.61364758722218</v>
      </c>
      <c r="H815" s="11">
        <v>2.4627608066911599</v>
      </c>
    </row>
    <row r="816" spans="3:8">
      <c r="C816" s="31">
        <v>44718</v>
      </c>
      <c r="D816" s="11">
        <v>0.90537333787930496</v>
      </c>
      <c r="E816" s="11">
        <v>0.90537333787930496</v>
      </c>
      <c r="F816" s="16" t="s">
        <v>19</v>
      </c>
      <c r="G816" s="11">
        <v>2.61364758722218</v>
      </c>
      <c r="H816" s="11">
        <v>2.4627608066911599</v>
      </c>
    </row>
    <row r="817" spans="3:8">
      <c r="C817" s="31">
        <v>44715</v>
      </c>
      <c r="D817" s="11">
        <v>0.90537333787930496</v>
      </c>
      <c r="E817" s="11">
        <v>0.90537333787930496</v>
      </c>
      <c r="F817" s="16" t="s">
        <v>19</v>
      </c>
      <c r="G817" s="11">
        <v>2.61364758722218</v>
      </c>
      <c r="H817" s="11">
        <v>2.4627608066911599</v>
      </c>
    </row>
    <row r="818" spans="3:8">
      <c r="C818" s="31">
        <v>44714</v>
      </c>
      <c r="D818" s="11">
        <v>0.90537333787930496</v>
      </c>
      <c r="E818" s="11">
        <v>0.90537333787930496</v>
      </c>
      <c r="F818" s="16" t="s">
        <v>19</v>
      </c>
      <c r="G818" s="11">
        <v>2.61364758722218</v>
      </c>
      <c r="H818" s="11">
        <v>2.4627608066911599</v>
      </c>
    </row>
    <row r="819" spans="3:8">
      <c r="C819" s="31">
        <v>44713</v>
      </c>
      <c r="D819" s="11">
        <v>0.90537333787930496</v>
      </c>
      <c r="E819" s="11">
        <v>0.90537333787930496</v>
      </c>
      <c r="F819" s="16" t="s">
        <v>19</v>
      </c>
      <c r="G819" s="11">
        <v>2.61364758722218</v>
      </c>
      <c r="H819" s="11">
        <v>2.4627608066911599</v>
      </c>
    </row>
    <row r="820" spans="3:8">
      <c r="C820" s="31">
        <v>44712</v>
      </c>
      <c r="D820" s="11">
        <v>0.90537333787930496</v>
      </c>
      <c r="E820" s="11">
        <v>0.90537333787930496</v>
      </c>
      <c r="F820" s="16" t="s">
        <v>19</v>
      </c>
      <c r="G820" s="11">
        <v>2.61364758722218</v>
      </c>
      <c r="H820" s="11">
        <v>2.4627608066911599</v>
      </c>
    </row>
    <row r="821" spans="3:8">
      <c r="C821" s="31">
        <v>44711</v>
      </c>
      <c r="D821" s="11">
        <v>0.90537333787930496</v>
      </c>
      <c r="E821" s="11">
        <v>0.90537333787930496</v>
      </c>
      <c r="F821" s="16" t="s">
        <v>19</v>
      </c>
      <c r="G821" s="11">
        <v>2.61364758722218</v>
      </c>
      <c r="H821" s="11">
        <v>2.4627608066911599</v>
      </c>
    </row>
    <row r="822" spans="3:8">
      <c r="C822" s="31">
        <v>44708</v>
      </c>
      <c r="D822" s="11">
        <v>0.90537333787930496</v>
      </c>
      <c r="E822" s="11">
        <v>0.90537333787930496</v>
      </c>
      <c r="F822" s="16" t="s">
        <v>19</v>
      </c>
      <c r="G822" s="11">
        <v>2.61364758722218</v>
      </c>
      <c r="H822" s="11">
        <v>2.4627608066911599</v>
      </c>
    </row>
    <row r="823" spans="3:8">
      <c r="C823" s="31">
        <v>44707</v>
      </c>
      <c r="D823" s="11">
        <v>0.90537333787930496</v>
      </c>
      <c r="E823" s="11">
        <v>0.90537333787930496</v>
      </c>
      <c r="F823" s="16" t="s">
        <v>19</v>
      </c>
      <c r="G823" s="11">
        <v>2.61364758722218</v>
      </c>
      <c r="H823" s="11">
        <v>2.4627608066911599</v>
      </c>
    </row>
    <row r="824" spans="3:8">
      <c r="C824" s="31">
        <v>44706</v>
      </c>
      <c r="D824" s="11">
        <v>0.90537333787930496</v>
      </c>
      <c r="E824" s="11">
        <v>0.90537333787930496</v>
      </c>
      <c r="F824" s="16" t="s">
        <v>19</v>
      </c>
      <c r="G824" s="11">
        <v>2.61364758722218</v>
      </c>
      <c r="H824" s="11">
        <v>2.4627608066911599</v>
      </c>
    </row>
    <row r="825" spans="3:8">
      <c r="C825" s="31">
        <v>44705</v>
      </c>
      <c r="D825" s="11">
        <v>0.90537333787930496</v>
      </c>
      <c r="E825" s="11">
        <v>0.90537333787930496</v>
      </c>
      <c r="F825" s="16" t="s">
        <v>19</v>
      </c>
      <c r="G825" s="11">
        <v>2.61364758722218</v>
      </c>
      <c r="H825" s="11">
        <v>2.4627608066911599</v>
      </c>
    </row>
    <row r="826" spans="3:8">
      <c r="C826" s="31">
        <v>44704</v>
      </c>
      <c r="D826" s="11">
        <v>0.90537333787930496</v>
      </c>
      <c r="E826" s="11">
        <v>0.90537333787930496</v>
      </c>
      <c r="F826" s="16" t="s">
        <v>19</v>
      </c>
      <c r="G826" s="11">
        <v>2.61364758722218</v>
      </c>
      <c r="H826" s="11">
        <v>2.4627608066911599</v>
      </c>
    </row>
    <row r="827" spans="3:8">
      <c r="C827" s="31">
        <v>44701</v>
      </c>
      <c r="D827" s="11">
        <v>0.90537333787930496</v>
      </c>
      <c r="E827" s="11">
        <v>0.90537333787930496</v>
      </c>
      <c r="F827" s="16" t="s">
        <v>19</v>
      </c>
      <c r="G827" s="11">
        <v>2.61364758722218</v>
      </c>
      <c r="H827" s="11">
        <v>2.4627608066911599</v>
      </c>
    </row>
    <row r="828" spans="3:8">
      <c r="C828" s="31">
        <v>44700</v>
      </c>
      <c r="D828" s="11">
        <v>0.90537333787930496</v>
      </c>
      <c r="E828" s="11">
        <v>0.90537333787930496</v>
      </c>
      <c r="F828" s="16" t="s">
        <v>19</v>
      </c>
      <c r="G828" s="11">
        <v>2.61364758722218</v>
      </c>
      <c r="H828" s="11">
        <v>2.4627608066911599</v>
      </c>
    </row>
    <row r="829" spans="3:8">
      <c r="C829" s="31">
        <v>44699</v>
      </c>
      <c r="D829" s="11">
        <v>0.90537333787930496</v>
      </c>
      <c r="E829" s="11">
        <v>0.90537333787930496</v>
      </c>
      <c r="F829" s="16" t="s">
        <v>19</v>
      </c>
      <c r="G829" s="11">
        <v>2.61364758722218</v>
      </c>
      <c r="H829" s="11">
        <v>2.4627608066911599</v>
      </c>
    </row>
    <row r="830" spans="3:8">
      <c r="C830" s="31">
        <v>44698</v>
      </c>
      <c r="D830" s="11">
        <v>0.90537333787930496</v>
      </c>
      <c r="E830" s="11">
        <v>0.90537333787930496</v>
      </c>
      <c r="F830" s="16" t="s">
        <v>19</v>
      </c>
      <c r="G830" s="11">
        <v>2.61364758722218</v>
      </c>
      <c r="H830" s="11">
        <v>2.4627608066911599</v>
      </c>
    </row>
    <row r="831" spans="3:8">
      <c r="C831" s="31">
        <v>44697</v>
      </c>
      <c r="D831" s="11">
        <v>0.90537333787930496</v>
      </c>
      <c r="E831" s="11">
        <v>0.90537333787930496</v>
      </c>
      <c r="F831" s="16">
        <v>5</v>
      </c>
      <c r="G831" s="11">
        <v>2.61364758722218</v>
      </c>
      <c r="H831" s="11">
        <v>2.4627608066911599</v>
      </c>
    </row>
    <row r="832" spans="3:8">
      <c r="C832" s="31">
        <v>44694</v>
      </c>
      <c r="D832" s="11">
        <v>0.90537333787930496</v>
      </c>
      <c r="E832" s="11">
        <v>0.90537333787930496</v>
      </c>
      <c r="F832" s="16" t="s">
        <v>19</v>
      </c>
      <c r="G832" s="11">
        <v>2.61364758722218</v>
      </c>
      <c r="H832" s="11">
        <v>2.4627608066911599</v>
      </c>
    </row>
    <row r="833" spans="3:8">
      <c r="C833" s="31">
        <v>44693</v>
      </c>
      <c r="D833" s="11">
        <v>0.90537333787930496</v>
      </c>
      <c r="E833" s="11">
        <v>0.90537333787930496</v>
      </c>
      <c r="F833" s="16" t="s">
        <v>19</v>
      </c>
      <c r="G833" s="11">
        <v>2.61364758722218</v>
      </c>
      <c r="H833" s="11">
        <v>2.4627608066911599</v>
      </c>
    </row>
    <row r="834" spans="3:8">
      <c r="C834" s="31">
        <v>44692</v>
      </c>
      <c r="D834" s="11">
        <v>0.90537333787930496</v>
      </c>
      <c r="E834" s="11">
        <v>0.90537333787930496</v>
      </c>
      <c r="F834" s="16" t="s">
        <v>19</v>
      </c>
      <c r="G834" s="11">
        <v>2.61364758722218</v>
      </c>
      <c r="H834" s="11">
        <v>2.4627608066911599</v>
      </c>
    </row>
    <row r="835" spans="3:8">
      <c r="C835" s="31">
        <v>44691</v>
      </c>
      <c r="D835" s="11">
        <v>0.90537333787930496</v>
      </c>
      <c r="E835" s="11">
        <v>0.90537333787930496</v>
      </c>
      <c r="F835" s="16" t="s">
        <v>19</v>
      </c>
      <c r="G835" s="11">
        <v>2.61364758722218</v>
      </c>
      <c r="H835" s="11">
        <v>2.4627608066911599</v>
      </c>
    </row>
    <row r="836" spans="3:8">
      <c r="C836" s="31">
        <v>44690</v>
      </c>
      <c r="D836" s="11">
        <v>0.90537333787930496</v>
      </c>
      <c r="E836" s="11">
        <v>0.90537333787930496</v>
      </c>
      <c r="F836" s="16" t="s">
        <v>19</v>
      </c>
      <c r="G836" s="11">
        <v>2.61364758722218</v>
      </c>
      <c r="H836" s="11">
        <v>2.4627608066911599</v>
      </c>
    </row>
    <row r="837" spans="3:8">
      <c r="C837" s="31">
        <v>44687</v>
      </c>
      <c r="D837" s="11">
        <v>0.90537333787930496</v>
      </c>
      <c r="E837" s="11">
        <v>0.90537333787930496</v>
      </c>
      <c r="F837" s="16" t="s">
        <v>19</v>
      </c>
      <c r="G837" s="11">
        <v>2.61364758722218</v>
      </c>
      <c r="H837" s="11">
        <v>2.4627608066911599</v>
      </c>
    </row>
    <row r="838" spans="3:8">
      <c r="C838" s="31">
        <v>44686</v>
      </c>
      <c r="D838" s="11">
        <v>0.90537333787930496</v>
      </c>
      <c r="E838" s="11">
        <v>0.90537333787930496</v>
      </c>
      <c r="F838" s="16" t="s">
        <v>19</v>
      </c>
      <c r="G838" s="11">
        <v>2.61364758722218</v>
      </c>
      <c r="H838" s="11">
        <v>2.4627608066911599</v>
      </c>
    </row>
    <row r="839" spans="3:8">
      <c r="C839" s="31">
        <v>44685</v>
      </c>
      <c r="D839" s="11">
        <v>0.90537333787930496</v>
      </c>
      <c r="E839" s="11">
        <v>0.90537333787930496</v>
      </c>
      <c r="F839" s="16" t="s">
        <v>19</v>
      </c>
      <c r="G839" s="11">
        <v>2.61364758722218</v>
      </c>
      <c r="H839" s="11">
        <v>2.4627608066911599</v>
      </c>
    </row>
    <row r="840" spans="3:8">
      <c r="C840" s="31">
        <v>44684</v>
      </c>
      <c r="D840" s="11">
        <v>0.90537333787930496</v>
      </c>
      <c r="E840" s="11">
        <v>0.90537333787930496</v>
      </c>
      <c r="F840" s="16">
        <v>15</v>
      </c>
      <c r="G840" s="11">
        <v>2.61364758722218</v>
      </c>
      <c r="H840" s="11">
        <v>2.4627608066911599</v>
      </c>
    </row>
    <row r="841" spans="3:8">
      <c r="C841" s="31">
        <v>44683</v>
      </c>
      <c r="D841" s="11">
        <v>0.90537333787930496</v>
      </c>
      <c r="E841" s="11">
        <v>0.90537333787930496</v>
      </c>
      <c r="F841" s="16" t="s">
        <v>19</v>
      </c>
      <c r="G841" s="11">
        <v>2.61364758722218</v>
      </c>
      <c r="H841" s="11">
        <v>2.4627608066911599</v>
      </c>
    </row>
    <row r="842" spans="3:8">
      <c r="C842" s="31">
        <v>44680</v>
      </c>
      <c r="D842" s="11">
        <v>0.90537333787930496</v>
      </c>
      <c r="E842" s="11">
        <v>0.90537333787930496</v>
      </c>
      <c r="F842" s="16" t="s">
        <v>19</v>
      </c>
      <c r="G842" s="11">
        <v>2.61364758722218</v>
      </c>
      <c r="H842" s="11">
        <v>2.4627608066911599</v>
      </c>
    </row>
    <row r="843" spans="3:8">
      <c r="C843" s="31">
        <v>44679</v>
      </c>
      <c r="D843" s="11">
        <v>0.90537333787930496</v>
      </c>
      <c r="E843" s="11">
        <v>0.90537333787930496</v>
      </c>
      <c r="F843" s="16" t="s">
        <v>19</v>
      </c>
      <c r="G843" s="11">
        <v>2.61364758722218</v>
      </c>
      <c r="H843" s="11">
        <v>2.4627608066911599</v>
      </c>
    </row>
    <row r="844" spans="3:8">
      <c r="C844" s="31">
        <v>44678</v>
      </c>
      <c r="D844" s="11">
        <v>0.90537333787930496</v>
      </c>
      <c r="E844" s="11">
        <v>0.90537333787930496</v>
      </c>
      <c r="F844" s="16" t="s">
        <v>19</v>
      </c>
      <c r="G844" s="11">
        <v>2.61364758722218</v>
      </c>
      <c r="H844" s="11">
        <v>2.4627608066911599</v>
      </c>
    </row>
    <row r="845" spans="3:8">
      <c r="C845" s="31">
        <v>44677</v>
      </c>
      <c r="D845" s="11">
        <v>0.90537333787930496</v>
      </c>
      <c r="E845" s="11">
        <v>0.90537333787930496</v>
      </c>
      <c r="F845" s="16" t="s">
        <v>19</v>
      </c>
      <c r="G845" s="11">
        <v>2.61364758722218</v>
      </c>
      <c r="H845" s="11">
        <v>2.4627608066911599</v>
      </c>
    </row>
    <row r="846" spans="3:8">
      <c r="C846" s="31">
        <v>44676</v>
      </c>
      <c r="D846" s="11">
        <v>0.90537333787930496</v>
      </c>
      <c r="E846" s="11">
        <v>0.90537333787930496</v>
      </c>
      <c r="F846" s="16" t="s">
        <v>19</v>
      </c>
      <c r="G846" s="11">
        <v>2.61364758722218</v>
      </c>
      <c r="H846" s="11">
        <v>2.4627608066911599</v>
      </c>
    </row>
    <row r="847" spans="3:8">
      <c r="C847" s="31">
        <v>44673</v>
      </c>
      <c r="D847" s="11">
        <v>0.90537333787930496</v>
      </c>
      <c r="E847" s="11">
        <v>0.90537333787930496</v>
      </c>
      <c r="F847" s="16" t="s">
        <v>19</v>
      </c>
      <c r="G847" s="11">
        <v>2.61364758722218</v>
      </c>
      <c r="H847" s="11">
        <v>2.4627608066911599</v>
      </c>
    </row>
    <row r="848" spans="3:8">
      <c r="C848" s="31">
        <v>44672</v>
      </c>
      <c r="D848" s="11">
        <v>0.90537333787930496</v>
      </c>
      <c r="E848" s="11">
        <v>0.90537333787930496</v>
      </c>
      <c r="F848" s="16" t="s">
        <v>19</v>
      </c>
      <c r="G848" s="11">
        <v>2.61364758722218</v>
      </c>
      <c r="H848" s="11">
        <v>2.4627608066911599</v>
      </c>
    </row>
    <row r="849" spans="3:8">
      <c r="C849" s="31">
        <v>44671</v>
      </c>
      <c r="D849" s="11">
        <v>0.90537333787930496</v>
      </c>
      <c r="E849" s="11">
        <v>0.90537333787930496</v>
      </c>
      <c r="F849" s="16" t="s">
        <v>19</v>
      </c>
      <c r="G849" s="11">
        <v>2.4618142523028701</v>
      </c>
      <c r="H849" s="11">
        <v>2.31020127262037</v>
      </c>
    </row>
    <row r="850" spans="3:8">
      <c r="C850" s="31">
        <v>44670</v>
      </c>
      <c r="D850" s="11">
        <v>0.90537333787930496</v>
      </c>
      <c r="E850" s="11">
        <v>0.90537333787930496</v>
      </c>
      <c r="F850" s="16" t="s">
        <v>19</v>
      </c>
      <c r="G850" s="11">
        <v>2.4097885557591598</v>
      </c>
      <c r="H850" s="11">
        <v>2.2682134781083101</v>
      </c>
    </row>
    <row r="851" spans="3:8">
      <c r="C851" s="31">
        <v>44669</v>
      </c>
      <c r="D851" s="11">
        <v>0.90537333787930496</v>
      </c>
      <c r="E851" s="11">
        <v>0.90537333787930496</v>
      </c>
      <c r="F851" s="16" t="s">
        <v>19</v>
      </c>
      <c r="G851" s="11">
        <v>2.3847110582701898</v>
      </c>
      <c r="H851" s="11">
        <v>2.2348370002613001</v>
      </c>
    </row>
    <row r="852" spans="3:8">
      <c r="C852" s="31">
        <v>44666</v>
      </c>
      <c r="D852" s="11">
        <v>0.90537333787930496</v>
      </c>
      <c r="E852" s="11">
        <v>0.90537333787930496</v>
      </c>
      <c r="F852" s="16" t="s">
        <v>19</v>
      </c>
      <c r="G852" s="11">
        <v>2.3847110582701898</v>
      </c>
      <c r="H852" s="11">
        <v>2.2348370002613001</v>
      </c>
    </row>
    <row r="853" spans="3:8">
      <c r="C853" s="31">
        <v>44665</v>
      </c>
      <c r="D853" s="11">
        <v>0.90537333787930496</v>
      </c>
      <c r="E853" s="11">
        <v>0.90537333787930496</v>
      </c>
      <c r="F853" s="16" t="s">
        <v>19</v>
      </c>
      <c r="G853" s="11">
        <v>2.3847110582701898</v>
      </c>
      <c r="H853" s="11">
        <v>2.2348370002613001</v>
      </c>
    </row>
    <row r="854" spans="3:8">
      <c r="C854" s="31">
        <v>44664</v>
      </c>
      <c r="D854" s="11">
        <v>0.90537333787930496</v>
      </c>
      <c r="E854" s="11">
        <v>0.90537333787930496</v>
      </c>
      <c r="F854" s="16" t="s">
        <v>19</v>
      </c>
      <c r="G854" s="11">
        <v>2.5782975907880799</v>
      </c>
      <c r="H854" s="11">
        <v>2.45142496295033</v>
      </c>
    </row>
    <row r="855" spans="3:8">
      <c r="C855" s="31">
        <v>44663</v>
      </c>
      <c r="D855" s="11">
        <v>0.90537333787930496</v>
      </c>
      <c r="E855" s="11">
        <v>0.90537333787930496</v>
      </c>
      <c r="F855" s="16" t="s">
        <v>19</v>
      </c>
      <c r="G855" s="11">
        <v>2.50706737630132</v>
      </c>
      <c r="H855" s="11">
        <v>2.3727280383670601</v>
      </c>
    </row>
    <row r="856" spans="3:8">
      <c r="C856" s="31">
        <v>44662</v>
      </c>
      <c r="D856" s="11">
        <v>0.90537333787930496</v>
      </c>
      <c r="E856" s="11">
        <v>0.90537333787930496</v>
      </c>
      <c r="F856" s="16" t="s">
        <v>19</v>
      </c>
      <c r="G856" s="11">
        <v>1.9947840924162401</v>
      </c>
      <c r="H856" s="11">
        <v>1.8682023776573999</v>
      </c>
    </row>
    <row r="857" spans="3:8">
      <c r="C857" s="31">
        <v>44659</v>
      </c>
      <c r="D857" s="11">
        <v>0.90537333787930496</v>
      </c>
      <c r="E857" s="11">
        <v>0.90537333787930496</v>
      </c>
      <c r="F857" s="16" t="s">
        <v>19</v>
      </c>
      <c r="G857" s="11">
        <v>1.9947840924162401</v>
      </c>
      <c r="H857" s="11">
        <v>1.8682023776573999</v>
      </c>
    </row>
    <row r="858" spans="3:8">
      <c r="C858" s="31">
        <v>44658</v>
      </c>
      <c r="D858" s="11">
        <v>0.90537333787930496</v>
      </c>
      <c r="E858" s="11">
        <v>0.90537333787930496</v>
      </c>
      <c r="F858" s="16" t="s">
        <v>19</v>
      </c>
      <c r="G858" s="11">
        <v>1.9947840924162401</v>
      </c>
      <c r="H858" s="11">
        <v>1.8682023776573999</v>
      </c>
    </row>
    <row r="859" spans="3:8">
      <c r="C859" s="31">
        <v>44657</v>
      </c>
      <c r="D859" s="11">
        <v>0.90537333787930496</v>
      </c>
      <c r="E859" s="11">
        <v>0.90537333787930496</v>
      </c>
      <c r="F859" s="16" t="s">
        <v>19</v>
      </c>
      <c r="G859" s="11">
        <v>1.9947840924162401</v>
      </c>
      <c r="H859" s="11">
        <v>1.8682023776573999</v>
      </c>
    </row>
    <row r="860" spans="3:8">
      <c r="C860" s="31">
        <v>44656</v>
      </c>
      <c r="D860" s="11">
        <v>0.90537333787930496</v>
      </c>
      <c r="E860" s="11">
        <v>0.90537333787930496</v>
      </c>
      <c r="F860" s="16" t="s">
        <v>19</v>
      </c>
      <c r="G860" s="11">
        <v>1.9947840924162401</v>
      </c>
      <c r="H860" s="11">
        <v>1.8682023776573999</v>
      </c>
    </row>
    <row r="861" spans="3:8">
      <c r="C861" s="31">
        <v>44655</v>
      </c>
      <c r="D861" s="11">
        <v>0.90537333787930496</v>
      </c>
      <c r="E861" s="11">
        <v>0.90537333787930496</v>
      </c>
      <c r="F861" s="16" t="s">
        <v>19</v>
      </c>
      <c r="G861" s="11">
        <v>1.9947840924162401</v>
      </c>
      <c r="H861" s="11">
        <v>1.8682023776573999</v>
      </c>
    </row>
    <row r="862" spans="3:8">
      <c r="C862" s="31">
        <v>44652</v>
      </c>
      <c r="D862" s="11">
        <v>0.90537333787930496</v>
      </c>
      <c r="E862" s="11">
        <v>0.90537333787930496</v>
      </c>
      <c r="F862" s="16" t="s">
        <v>19</v>
      </c>
      <c r="G862" s="11">
        <v>1.9947840924162401</v>
      </c>
      <c r="H862" s="11">
        <v>1.8682023776573999</v>
      </c>
    </row>
    <row r="863" spans="3:8">
      <c r="C863" s="31">
        <v>44651</v>
      </c>
      <c r="D863" s="11">
        <v>0.90537333787930496</v>
      </c>
      <c r="E863" s="11">
        <v>0.90537333787930496</v>
      </c>
      <c r="F863" s="16" t="s">
        <v>19</v>
      </c>
      <c r="G863" s="11">
        <v>1.9947840924162401</v>
      </c>
      <c r="H863" s="11">
        <v>1.8682023776573999</v>
      </c>
    </row>
    <row r="864" spans="3:8">
      <c r="C864" s="31">
        <v>44650</v>
      </c>
      <c r="D864" s="11">
        <v>0.90537333787930496</v>
      </c>
      <c r="E864" s="11">
        <v>0.90537333787930496</v>
      </c>
      <c r="F864" s="16" t="s">
        <v>19</v>
      </c>
      <c r="G864" s="11">
        <v>1.9947840924162401</v>
      </c>
      <c r="H864" s="11">
        <v>1.8682023776573999</v>
      </c>
    </row>
    <row r="865" spans="3:8">
      <c r="C865" s="31">
        <v>44649</v>
      </c>
      <c r="D865" s="11">
        <v>0.90537333787930496</v>
      </c>
      <c r="E865" s="11">
        <v>0.90537333787930496</v>
      </c>
      <c r="F865" s="16" t="s">
        <v>19</v>
      </c>
      <c r="G865" s="11">
        <v>1.9947840924162401</v>
      </c>
      <c r="H865" s="11">
        <v>1.8682023776573999</v>
      </c>
    </row>
    <row r="866" spans="3:8">
      <c r="C866" s="31">
        <v>44648</v>
      </c>
      <c r="D866" s="11">
        <v>0.90537333787930496</v>
      </c>
      <c r="E866" s="11">
        <v>0.90537333787930496</v>
      </c>
      <c r="F866" s="16" t="s">
        <v>19</v>
      </c>
      <c r="G866" s="11">
        <v>1.9947840924162401</v>
      </c>
      <c r="H866" s="11">
        <v>1.8682023776573999</v>
      </c>
    </row>
    <row r="867" spans="3:8">
      <c r="C867" s="31">
        <v>44645</v>
      </c>
      <c r="D867" s="11">
        <v>0.90537333787930496</v>
      </c>
      <c r="E867" s="11">
        <v>0.90537333787930496</v>
      </c>
      <c r="F867" s="16" t="s">
        <v>19</v>
      </c>
      <c r="G867" s="11">
        <v>1.9947840924162401</v>
      </c>
      <c r="H867" s="11">
        <v>1.8682023776573999</v>
      </c>
    </row>
    <row r="868" spans="3:8">
      <c r="C868" s="31">
        <v>44644</v>
      </c>
      <c r="D868" s="11">
        <v>0.90537333787930496</v>
      </c>
      <c r="E868" s="11">
        <v>0.90537333787930496</v>
      </c>
      <c r="F868" s="16" t="s">
        <v>19</v>
      </c>
      <c r="G868" s="11">
        <v>1.9947840924162401</v>
      </c>
      <c r="H868" s="11">
        <v>1.8682023776573999</v>
      </c>
    </row>
    <row r="869" spans="3:8">
      <c r="C869" s="31">
        <v>44643</v>
      </c>
      <c r="D869" s="11">
        <v>0.90537333787930496</v>
      </c>
      <c r="E869" s="11">
        <v>0.90537333787930496</v>
      </c>
      <c r="F869" s="16" t="s">
        <v>19</v>
      </c>
      <c r="G869" s="11">
        <v>1.9947840924162401</v>
      </c>
      <c r="H869" s="11">
        <v>1.8682023776573999</v>
      </c>
    </row>
    <row r="870" spans="3:8">
      <c r="C870" s="31">
        <v>44642</v>
      </c>
      <c r="D870" s="11">
        <v>0.90537333787930496</v>
      </c>
      <c r="E870" s="11">
        <v>0.90537333787930496</v>
      </c>
      <c r="F870" s="16" t="s">
        <v>19</v>
      </c>
      <c r="G870" s="11">
        <v>1.9947840924162401</v>
      </c>
      <c r="H870" s="11">
        <v>1.8682023776573999</v>
      </c>
    </row>
    <row r="871" spans="3:8">
      <c r="C871" s="31">
        <v>44641</v>
      </c>
      <c r="D871" s="11">
        <v>0.90537333787930496</v>
      </c>
      <c r="E871" s="11">
        <v>0.90537333787930496</v>
      </c>
      <c r="F871" s="16" t="s">
        <v>19</v>
      </c>
      <c r="G871" s="11">
        <v>0.77760126068346702</v>
      </c>
      <c r="H871" s="11">
        <v>1.8682023776573999</v>
      </c>
    </row>
    <row r="872" spans="3:8">
      <c r="C872" s="31">
        <v>44638</v>
      </c>
      <c r="D872" s="11">
        <v>0.90537333787930496</v>
      </c>
      <c r="E872" s="11">
        <v>0.90537333787930496</v>
      </c>
      <c r="F872" s="16" t="s">
        <v>19</v>
      </c>
      <c r="G872" s="11">
        <v>0.77760126068346702</v>
      </c>
      <c r="H872" s="11">
        <v>1.8682023776573999</v>
      </c>
    </row>
    <row r="873" spans="3:8">
      <c r="C873" s="31">
        <v>44637</v>
      </c>
      <c r="D873" s="11">
        <v>0.90537333787930496</v>
      </c>
      <c r="E873" s="11">
        <v>0.90537333787930496</v>
      </c>
      <c r="F873" s="16" t="s">
        <v>19</v>
      </c>
      <c r="G873" s="11">
        <v>0.77760126068346702</v>
      </c>
      <c r="H873" s="11">
        <v>0.76345242571464</v>
      </c>
    </row>
    <row r="874" spans="3:8">
      <c r="C874" s="31">
        <v>44636</v>
      </c>
      <c r="D874" s="11">
        <v>0.90537333787930496</v>
      </c>
      <c r="E874" s="11">
        <v>0.90537333787930496</v>
      </c>
      <c r="F874" s="16" t="s">
        <v>19</v>
      </c>
      <c r="G874" s="11">
        <v>0.77760126068346702</v>
      </c>
      <c r="H874" s="11">
        <v>0.76345242571464</v>
      </c>
    </row>
    <row r="875" spans="3:8">
      <c r="C875" s="31">
        <v>44635</v>
      </c>
      <c r="D875" s="11">
        <v>0.90537333787930496</v>
      </c>
      <c r="E875" s="11">
        <v>0.90537333787930496</v>
      </c>
      <c r="F875" s="16" t="s">
        <v>19</v>
      </c>
      <c r="G875" s="11">
        <v>0.77760126068346702</v>
      </c>
      <c r="H875" s="11">
        <v>0.76345242571464</v>
      </c>
    </row>
    <row r="876" spans="3:8">
      <c r="C876" s="31">
        <v>44634</v>
      </c>
      <c r="D876" s="11">
        <v>0.90537333787930496</v>
      </c>
      <c r="E876" s="11">
        <v>0.90537333787930496</v>
      </c>
      <c r="F876" s="16" t="s">
        <v>19</v>
      </c>
      <c r="G876" s="11">
        <v>0.77760126068346702</v>
      </c>
      <c r="H876" s="11">
        <v>0.76345242571464</v>
      </c>
    </row>
    <row r="877" spans="3:8">
      <c r="C877" s="31">
        <v>44631</v>
      </c>
      <c r="D877" s="11">
        <v>0.90537333787930496</v>
      </c>
      <c r="E877" s="11">
        <v>0.90537333787930496</v>
      </c>
      <c r="F877" s="16" t="s">
        <v>19</v>
      </c>
      <c r="G877" s="11">
        <v>0.77760126068346702</v>
      </c>
      <c r="H877" s="11">
        <v>0.76345242571464</v>
      </c>
    </row>
    <row r="878" spans="3:8">
      <c r="C878" s="31">
        <v>44630</v>
      </c>
      <c r="D878" s="11">
        <v>0.90537333787930496</v>
      </c>
      <c r="E878" s="11">
        <v>0.90537333787930496</v>
      </c>
      <c r="F878" s="16" t="s">
        <v>19</v>
      </c>
      <c r="G878" s="11">
        <v>0.77760126068346702</v>
      </c>
      <c r="H878" s="11">
        <v>0.76345242571464</v>
      </c>
    </row>
    <row r="879" spans="3:8">
      <c r="C879" s="31">
        <v>44629</v>
      </c>
      <c r="D879" s="11">
        <v>0.90537333787930496</v>
      </c>
      <c r="E879" s="11">
        <v>0.90537333787930496</v>
      </c>
      <c r="F879" s="16" t="s">
        <v>19</v>
      </c>
      <c r="G879" s="11">
        <v>0.77760126068346702</v>
      </c>
      <c r="H879" s="11">
        <v>0.76345242571464</v>
      </c>
    </row>
    <row r="880" spans="3:8">
      <c r="C880" s="31">
        <v>44628</v>
      </c>
      <c r="D880" s="11">
        <v>0.90537333787930496</v>
      </c>
      <c r="E880" s="11">
        <v>0.90537333787930496</v>
      </c>
      <c r="F880" s="16" t="s">
        <v>19</v>
      </c>
      <c r="G880" s="11">
        <v>0.77760126068346702</v>
      </c>
      <c r="H880" s="11">
        <v>0.76345242571464</v>
      </c>
    </row>
    <row r="881" spans="3:8">
      <c r="C881" s="31">
        <v>44627</v>
      </c>
      <c r="D881" s="11">
        <v>0.90537333787930496</v>
      </c>
      <c r="E881" s="11">
        <v>0.90537333787930496</v>
      </c>
      <c r="F881" s="16" t="s">
        <v>19</v>
      </c>
      <c r="G881" s="11">
        <v>0.77760126068346702</v>
      </c>
      <c r="H881" s="11">
        <v>0.76345242571464</v>
      </c>
    </row>
    <row r="882" spans="3:8">
      <c r="C882" s="31">
        <v>44624</v>
      </c>
      <c r="D882" s="11">
        <v>0.90537333787930496</v>
      </c>
      <c r="E882" s="11">
        <v>0.90537333787930496</v>
      </c>
      <c r="F882" s="16" t="s">
        <v>19</v>
      </c>
      <c r="G882" s="11">
        <v>0.77760126068346702</v>
      </c>
      <c r="H882" s="11">
        <v>0.76345242571464</v>
      </c>
    </row>
    <row r="883" spans="3:8">
      <c r="C883" s="31">
        <v>44623</v>
      </c>
      <c r="D883" s="11">
        <v>0.90537333787930496</v>
      </c>
      <c r="E883" s="11">
        <v>0.90537333787930496</v>
      </c>
      <c r="F883" s="16" t="s">
        <v>19</v>
      </c>
      <c r="G883" s="11">
        <v>0.77760126068346702</v>
      </c>
      <c r="H883" s="11">
        <v>0.76345242571464</v>
      </c>
    </row>
    <row r="884" spans="3:8">
      <c r="C884" s="31">
        <v>44622</v>
      </c>
      <c r="D884" s="11">
        <v>0.90537333787930496</v>
      </c>
      <c r="E884" s="11">
        <v>0.90537333787930496</v>
      </c>
      <c r="F884" s="16" t="s">
        <v>19</v>
      </c>
      <c r="G884" s="11">
        <v>0.77760126068346702</v>
      </c>
      <c r="H884" s="11">
        <v>0.76345242571464</v>
      </c>
    </row>
    <row r="885" spans="3:8">
      <c r="C885" s="31">
        <v>44621</v>
      </c>
      <c r="D885" s="11">
        <v>0.90537333787930496</v>
      </c>
      <c r="E885" s="11">
        <v>0.90537333787930496</v>
      </c>
      <c r="F885" s="16" t="s">
        <v>19</v>
      </c>
      <c r="G885" s="11">
        <v>0.77760126068346702</v>
      </c>
      <c r="H885" s="11">
        <v>0.76345242571464</v>
      </c>
    </row>
    <row r="886" spans="3:8">
      <c r="C886" s="31">
        <v>44620</v>
      </c>
      <c r="D886" s="11">
        <v>0.90537333787930496</v>
      </c>
      <c r="E886" s="11">
        <v>0.90537333787930496</v>
      </c>
      <c r="F886" s="16" t="s">
        <v>19</v>
      </c>
      <c r="G886" s="11">
        <v>0.77760126068346702</v>
      </c>
      <c r="H886" s="11">
        <v>0.76345242571464</v>
      </c>
    </row>
    <row r="887" spans="3:8">
      <c r="C887" s="31">
        <v>44617</v>
      </c>
      <c r="D887" s="11">
        <v>0.90537333787930496</v>
      </c>
      <c r="E887" s="11">
        <v>0.90537333787930496</v>
      </c>
      <c r="F887" s="16" t="s">
        <v>19</v>
      </c>
      <c r="G887" s="11">
        <v>0.77760126068346702</v>
      </c>
      <c r="H887" s="11">
        <v>0.76345242571464</v>
      </c>
    </row>
    <row r="888" spans="3:8">
      <c r="C888" s="31">
        <v>44616</v>
      </c>
      <c r="D888" s="11">
        <v>0.90537333787930496</v>
      </c>
      <c r="E888" s="11">
        <v>0.90537333787930496</v>
      </c>
      <c r="F888" s="16" t="s">
        <v>19</v>
      </c>
      <c r="G888" s="11">
        <v>0.77760126068346702</v>
      </c>
      <c r="H888" s="11">
        <v>0.76345242571464</v>
      </c>
    </row>
    <row r="889" spans="3:8">
      <c r="C889" s="31">
        <v>44615</v>
      </c>
      <c r="D889" s="11">
        <v>0.90537333787930496</v>
      </c>
      <c r="E889" s="11">
        <v>0.90537333787930496</v>
      </c>
      <c r="F889" s="16" t="s">
        <v>19</v>
      </c>
      <c r="G889" s="11">
        <v>0.77760126068346702</v>
      </c>
      <c r="H889" s="11">
        <v>0.76345242571464</v>
      </c>
    </row>
    <row r="890" spans="3:8">
      <c r="C890" s="31">
        <v>44614</v>
      </c>
      <c r="D890" s="11">
        <v>0.90537333787930496</v>
      </c>
      <c r="E890" s="11">
        <v>0.90537333787930496</v>
      </c>
      <c r="F890" s="16" t="s">
        <v>19</v>
      </c>
      <c r="G890" s="11">
        <v>0.77760126068346702</v>
      </c>
      <c r="H890" s="11">
        <v>0.76345242571464</v>
      </c>
    </row>
    <row r="891" spans="3:8">
      <c r="C891" s="31">
        <v>44613</v>
      </c>
      <c r="D891" s="11">
        <v>0.90537333787930496</v>
      </c>
      <c r="E891" s="11">
        <v>0.90537333787930496</v>
      </c>
      <c r="F891" s="16" t="s">
        <v>19</v>
      </c>
      <c r="G891" s="11">
        <v>0.77760126068346702</v>
      </c>
      <c r="H891" s="11">
        <v>0.76345242571464</v>
      </c>
    </row>
    <row r="892" spans="3:8">
      <c r="C892" s="31">
        <v>44610</v>
      </c>
      <c r="D892" s="11">
        <v>0.90537333787930496</v>
      </c>
      <c r="E892" s="11">
        <v>0.90537333787930496</v>
      </c>
      <c r="F892" s="16" t="s">
        <v>19</v>
      </c>
      <c r="G892" s="11">
        <v>0.77760126068346702</v>
      </c>
      <c r="H892" s="11">
        <v>0.76345242571464</v>
      </c>
    </row>
    <row r="893" spans="3:8">
      <c r="C893" s="31">
        <v>44609</v>
      </c>
      <c r="D893" s="11">
        <v>0.90537333787930496</v>
      </c>
      <c r="E893" s="11">
        <v>0.90537333787930496</v>
      </c>
      <c r="F893" s="16" t="s">
        <v>19</v>
      </c>
      <c r="G893" s="11">
        <v>0.77760126068346702</v>
      </c>
      <c r="H893" s="11">
        <v>0.76345242571464</v>
      </c>
    </row>
    <row r="894" spans="3:8">
      <c r="C894" s="31">
        <v>44608</v>
      </c>
      <c r="D894" s="11">
        <v>0.90537333787930496</v>
      </c>
      <c r="E894" s="11">
        <v>0.90537333787930496</v>
      </c>
      <c r="F894" s="16" t="s">
        <v>19</v>
      </c>
      <c r="G894" s="11">
        <v>0.77760126068346702</v>
      </c>
      <c r="H894" s="11">
        <v>0.76345242571464</v>
      </c>
    </row>
    <row r="895" spans="3:8">
      <c r="C895" s="31">
        <v>44607</v>
      </c>
      <c r="D895" s="11">
        <v>0.90537333787930496</v>
      </c>
      <c r="E895" s="11">
        <v>0.90537333787930496</v>
      </c>
      <c r="F895" s="16" t="s">
        <v>19</v>
      </c>
      <c r="G895" s="11">
        <v>0.77760126068346702</v>
      </c>
      <c r="H895" s="11">
        <v>0.76345242571464</v>
      </c>
    </row>
    <row r="896" spans="3:8">
      <c r="C896" s="31">
        <v>44606</v>
      </c>
      <c r="D896" s="11">
        <v>0.90537333787930496</v>
      </c>
      <c r="E896" s="11">
        <v>0.90537333787930496</v>
      </c>
      <c r="F896" s="16" t="s">
        <v>19</v>
      </c>
      <c r="G896" s="11">
        <v>0.77760126068346702</v>
      </c>
      <c r="H896" s="11">
        <v>0.76345242571464</v>
      </c>
    </row>
    <row r="897" spans="3:8">
      <c r="C897" s="31">
        <v>44603</v>
      </c>
      <c r="D897" s="11">
        <v>0.90537333787930496</v>
      </c>
      <c r="E897" s="11">
        <v>0.90537333787930496</v>
      </c>
      <c r="F897" s="16" t="s">
        <v>19</v>
      </c>
      <c r="G897" s="11">
        <v>0.77760126068346702</v>
      </c>
      <c r="H897" s="11">
        <v>0.76345242571464</v>
      </c>
    </row>
    <row r="898" spans="3:8">
      <c r="C898" s="31">
        <v>44602</v>
      </c>
      <c r="D898" s="11">
        <v>0.90537333787930496</v>
      </c>
      <c r="E898" s="11">
        <v>0.90537333787930496</v>
      </c>
      <c r="F898" s="16" t="s">
        <v>19</v>
      </c>
      <c r="G898" s="11">
        <v>0.77760126068346702</v>
      </c>
      <c r="H898" s="11">
        <v>0.76345242571464</v>
      </c>
    </row>
    <row r="899" spans="3:8">
      <c r="C899" s="31">
        <v>44601</v>
      </c>
      <c r="D899" s="11">
        <v>0.90537333787930496</v>
      </c>
      <c r="E899" s="11">
        <v>0.90537333787930496</v>
      </c>
      <c r="F899" s="16" t="s">
        <v>19</v>
      </c>
      <c r="G899" s="11">
        <v>0.77760126068346702</v>
      </c>
      <c r="H899" s="11">
        <v>0.76345242571464</v>
      </c>
    </row>
    <row r="900" spans="3:8">
      <c r="C900" s="31">
        <v>44600</v>
      </c>
      <c r="D900" s="11">
        <v>0.90537333787930496</v>
      </c>
      <c r="E900" s="11">
        <v>0.90537333787930496</v>
      </c>
      <c r="F900" s="16" t="s">
        <v>19</v>
      </c>
      <c r="G900" s="11">
        <v>0.77760126068346702</v>
      </c>
      <c r="H900" s="11">
        <v>0.76345242571464</v>
      </c>
    </row>
    <row r="901" spans="3:8">
      <c r="C901" s="31">
        <v>44599</v>
      </c>
      <c r="D901" s="11">
        <v>0.90537333787930496</v>
      </c>
      <c r="E901" s="11">
        <v>0.90537333787930496</v>
      </c>
      <c r="F901" s="16" t="s">
        <v>19</v>
      </c>
      <c r="G901" s="11">
        <v>0.77760126068346702</v>
      </c>
      <c r="H901" s="11">
        <v>0.76345242571464</v>
      </c>
    </row>
    <row r="902" spans="3:8">
      <c r="C902" s="31">
        <v>44596</v>
      </c>
      <c r="D902" s="11">
        <v>0.90537333787930496</v>
      </c>
      <c r="E902" s="11">
        <v>0.90537333787930496</v>
      </c>
      <c r="F902" s="16" t="s">
        <v>19</v>
      </c>
      <c r="G902" s="11">
        <v>0.77760126068346702</v>
      </c>
      <c r="H902" s="11">
        <v>0.76345242571464</v>
      </c>
    </row>
    <row r="903" spans="3:8">
      <c r="C903" s="31">
        <v>44595</v>
      </c>
      <c r="D903" s="11">
        <v>0.90537333787930496</v>
      </c>
      <c r="E903" s="11">
        <v>0.90537333787930496</v>
      </c>
      <c r="F903" s="16" t="s">
        <v>19</v>
      </c>
      <c r="G903" s="11">
        <v>0.77760126068346702</v>
      </c>
      <c r="H903" s="11">
        <v>0.76345242571464</v>
      </c>
    </row>
    <row r="904" spans="3:8">
      <c r="C904" s="31">
        <v>44594</v>
      </c>
      <c r="D904" s="11">
        <v>0.90537333787930496</v>
      </c>
      <c r="E904" s="11">
        <v>0.90537333787930496</v>
      </c>
      <c r="F904" s="16" t="s">
        <v>19</v>
      </c>
      <c r="G904" s="11">
        <v>0.77760126068346702</v>
      </c>
      <c r="H904" s="11">
        <v>0.76345242571464</v>
      </c>
    </row>
    <row r="905" spans="3:8">
      <c r="C905" s="31">
        <v>44593</v>
      </c>
      <c r="D905" s="11">
        <v>0.90537333787930496</v>
      </c>
      <c r="E905" s="11">
        <v>0.90537333787930496</v>
      </c>
      <c r="F905" s="16" t="s">
        <v>19</v>
      </c>
      <c r="G905" s="11">
        <v>0.77760126068346702</v>
      </c>
      <c r="H905" s="11">
        <v>0.76345242571464</v>
      </c>
    </row>
    <row r="906" spans="3:8">
      <c r="C906" s="31">
        <v>44592</v>
      </c>
      <c r="D906" s="11">
        <v>0.90537333787930496</v>
      </c>
      <c r="E906" s="11">
        <v>0.90537333787930496</v>
      </c>
      <c r="F906" s="16" t="s">
        <v>19</v>
      </c>
      <c r="G906" s="11">
        <v>0.77760126068346702</v>
      </c>
      <c r="H906" s="11">
        <v>0.76345242571464</v>
      </c>
    </row>
    <row r="907" spans="3:8">
      <c r="C907" s="31">
        <v>44589</v>
      </c>
      <c r="D907" s="11">
        <v>0.90537333787930496</v>
      </c>
      <c r="E907" s="11">
        <v>0.90537333787930496</v>
      </c>
      <c r="F907" s="16" t="s">
        <v>19</v>
      </c>
      <c r="G907" s="11">
        <v>0.77760126068346702</v>
      </c>
      <c r="H907" s="11">
        <v>0.76345242571464</v>
      </c>
    </row>
    <row r="908" spans="3:8">
      <c r="C908" s="31">
        <v>44588</v>
      </c>
      <c r="D908" s="11">
        <v>0.90537333787930496</v>
      </c>
      <c r="E908" s="11">
        <v>0.90537333787930496</v>
      </c>
      <c r="F908" s="16" t="s">
        <v>19</v>
      </c>
      <c r="G908" s="11">
        <v>0.77760126068346702</v>
      </c>
      <c r="H908" s="11">
        <v>0.76345242571464</v>
      </c>
    </row>
    <row r="909" spans="3:8">
      <c r="C909" s="31">
        <v>44587</v>
      </c>
      <c r="D909" s="11">
        <v>0.90537333787930496</v>
      </c>
      <c r="E909" s="11">
        <v>0.90537333787930496</v>
      </c>
      <c r="F909" s="16" t="s">
        <v>19</v>
      </c>
      <c r="G909" s="11">
        <v>0.77760126068346702</v>
      </c>
      <c r="H909" s="11">
        <v>0.76345242571464</v>
      </c>
    </row>
    <row r="910" spans="3:8">
      <c r="C910" s="31">
        <v>44586</v>
      </c>
      <c r="D910" s="11">
        <v>0.90537333787930496</v>
      </c>
      <c r="E910" s="11">
        <v>0.90537333787930496</v>
      </c>
      <c r="F910" s="16" t="s">
        <v>19</v>
      </c>
      <c r="G910" s="11">
        <v>0.77760126068346702</v>
      </c>
      <c r="H910" s="11">
        <v>0.76345242571464</v>
      </c>
    </row>
    <row r="911" spans="3:8">
      <c r="C911" s="31">
        <v>44585</v>
      </c>
      <c r="D911" s="11">
        <v>0.90537333787930496</v>
      </c>
      <c r="E911" s="11">
        <v>0.90537333787930496</v>
      </c>
      <c r="F911" s="16" t="s">
        <v>19</v>
      </c>
      <c r="G911" s="11">
        <v>0.77760126068346702</v>
      </c>
      <c r="H911" s="11">
        <v>0.76345242571464</v>
      </c>
    </row>
    <row r="912" spans="3:8">
      <c r="C912" s="31">
        <v>44582</v>
      </c>
      <c r="D912" s="11">
        <v>0.90537333787930496</v>
      </c>
      <c r="E912" s="11">
        <v>0.90537333787930496</v>
      </c>
      <c r="F912" s="16" t="s">
        <v>19</v>
      </c>
      <c r="G912" s="11">
        <v>0.77760126068346702</v>
      </c>
      <c r="H912" s="11">
        <v>0.76345242571464</v>
      </c>
    </row>
    <row r="913" spans="3:8">
      <c r="C913" s="31">
        <v>44581</v>
      </c>
      <c r="D913" s="11">
        <v>0.90537333787930496</v>
      </c>
      <c r="E913" s="11">
        <v>0.90537333787930496</v>
      </c>
      <c r="F913" s="16" t="s">
        <v>19</v>
      </c>
      <c r="G913" s="11">
        <v>0.77760126068346702</v>
      </c>
      <c r="H913" s="11">
        <v>0.76345242571464</v>
      </c>
    </row>
    <row r="914" spans="3:8">
      <c r="C914" s="31">
        <v>44580</v>
      </c>
      <c r="D914" s="11">
        <v>0.90537333787930496</v>
      </c>
      <c r="E914" s="11">
        <v>0.90537333787930496</v>
      </c>
      <c r="F914" s="16" t="s">
        <v>19</v>
      </c>
      <c r="G914" s="11">
        <v>0.77760126068346702</v>
      </c>
      <c r="H914" s="11">
        <v>0.76345242571464</v>
      </c>
    </row>
    <row r="915" spans="3:8">
      <c r="C915" s="31">
        <v>44579</v>
      </c>
      <c r="D915" s="11">
        <v>0.90537333787930496</v>
      </c>
      <c r="E915" s="11">
        <v>0.90537333787930496</v>
      </c>
      <c r="F915" s="16" t="s">
        <v>19</v>
      </c>
      <c r="G915" s="11">
        <v>0.77760126068346702</v>
      </c>
      <c r="H915" s="11">
        <v>0.76345242571464</v>
      </c>
    </row>
    <row r="916" spans="3:8">
      <c r="C916" s="31">
        <v>44578</v>
      </c>
      <c r="D916" s="11">
        <v>0.90537333787930496</v>
      </c>
      <c r="E916" s="11">
        <v>0.90537333787930496</v>
      </c>
      <c r="F916" s="16" t="s">
        <v>19</v>
      </c>
      <c r="G916" s="11">
        <v>0.77760126068346702</v>
      </c>
      <c r="H916" s="11">
        <v>0.76345242571464</v>
      </c>
    </row>
    <row r="917" spans="3:8">
      <c r="C917" s="31">
        <v>44575</v>
      </c>
      <c r="D917" s="11">
        <v>0.90537333787930496</v>
      </c>
      <c r="E917" s="11">
        <v>0.90537333787930496</v>
      </c>
      <c r="F917" s="16" t="s">
        <v>19</v>
      </c>
      <c r="G917" s="11">
        <v>0.77760126068346702</v>
      </c>
      <c r="H917" s="11">
        <v>0.76345242571464</v>
      </c>
    </row>
    <row r="918" spans="3:8">
      <c r="C918" s="31">
        <v>44574</v>
      </c>
      <c r="D918" s="11">
        <v>0.90537333787930496</v>
      </c>
      <c r="E918" s="11">
        <v>0.90537333787930496</v>
      </c>
      <c r="F918" s="16" t="s">
        <v>19</v>
      </c>
      <c r="G918" s="11">
        <v>0.77760126068346702</v>
      </c>
      <c r="H918" s="11">
        <v>0.76345242571464</v>
      </c>
    </row>
    <row r="919" spans="3:8">
      <c r="C919" s="31">
        <v>44573</v>
      </c>
      <c r="D919" s="11">
        <v>0.90537333787930496</v>
      </c>
      <c r="E919" s="11">
        <v>0.90537333787930496</v>
      </c>
      <c r="F919" s="16" t="s">
        <v>19</v>
      </c>
      <c r="G919" s="11">
        <v>0.77760126068346702</v>
      </c>
      <c r="H919" s="11">
        <v>0.76345242571464</v>
      </c>
    </row>
    <row r="920" spans="3:8">
      <c r="C920" s="31">
        <v>44572</v>
      </c>
      <c r="D920" s="11">
        <v>0.90537333787930496</v>
      </c>
      <c r="E920" s="11">
        <v>0.90537333787930496</v>
      </c>
      <c r="F920" s="16" t="s">
        <v>19</v>
      </c>
      <c r="G920" s="11">
        <v>0.77760126068346702</v>
      </c>
      <c r="H920" s="11">
        <v>0.76345242571464</v>
      </c>
    </row>
    <row r="921" spans="3:8">
      <c r="C921" s="31">
        <v>44571</v>
      </c>
      <c r="D921" s="11">
        <v>0.90537333787930496</v>
      </c>
      <c r="E921" s="11">
        <v>0.90537333787930496</v>
      </c>
      <c r="F921" s="16" t="s">
        <v>19</v>
      </c>
      <c r="G921" s="11">
        <v>0.77760126068346702</v>
      </c>
      <c r="H921" s="11">
        <v>0.76345242571464</v>
      </c>
    </row>
    <row r="922" spans="3:8">
      <c r="C922" s="31">
        <v>44568</v>
      </c>
      <c r="D922" s="11">
        <v>0.90537333787930496</v>
      </c>
      <c r="E922" s="11">
        <v>0.90537333787930496</v>
      </c>
      <c r="F922" s="16" t="s">
        <v>19</v>
      </c>
      <c r="G922" s="11">
        <v>0.77760126068346702</v>
      </c>
      <c r="H922" s="11">
        <v>0.76345242571464</v>
      </c>
    </row>
    <row r="923" spans="3:8">
      <c r="C923" s="31">
        <v>44567</v>
      </c>
      <c r="D923" s="11">
        <v>0.90537333787930496</v>
      </c>
      <c r="E923" s="11">
        <v>0.90537333787930496</v>
      </c>
      <c r="F923" s="16" t="s">
        <v>19</v>
      </c>
      <c r="G923" s="11">
        <v>0.77760126068346702</v>
      </c>
      <c r="H923" s="11">
        <v>0.76345242571464</v>
      </c>
    </row>
    <row r="924" spans="3:8">
      <c r="C924" s="31">
        <v>44566</v>
      </c>
      <c r="D924" s="11">
        <v>0.90537333787930496</v>
      </c>
      <c r="E924" s="11">
        <v>0.90537333787930496</v>
      </c>
      <c r="F924" s="16" t="s">
        <v>19</v>
      </c>
      <c r="G924" s="11">
        <v>0.77760126068346702</v>
      </c>
      <c r="H924" s="11">
        <v>0.76345242571464</v>
      </c>
    </row>
    <row r="925" spans="3:8">
      <c r="C925" s="31">
        <v>44565</v>
      </c>
      <c r="D925" s="11">
        <v>0.90537333787930496</v>
      </c>
      <c r="E925" s="11">
        <v>0.90537333787930496</v>
      </c>
      <c r="F925" s="16" t="s">
        <v>19</v>
      </c>
      <c r="G925" s="11">
        <v>0.77760126068346702</v>
      </c>
      <c r="H925" s="11">
        <v>0.76345242571464</v>
      </c>
    </row>
    <row r="926" spans="3:8">
      <c r="C926" s="31">
        <v>44564</v>
      </c>
      <c r="D926" s="11">
        <v>0.90537333787930496</v>
      </c>
      <c r="E926" s="11">
        <v>0.90537333787930496</v>
      </c>
      <c r="F926" s="16" t="s">
        <v>19</v>
      </c>
      <c r="G926" s="11">
        <v>0.77760126068346702</v>
      </c>
      <c r="H926" s="11">
        <v>0.76345242571464</v>
      </c>
    </row>
    <row r="927" spans="3:8">
      <c r="C927" s="31">
        <v>44561</v>
      </c>
      <c r="D927" s="11">
        <v>0.90537333787930496</v>
      </c>
      <c r="E927" s="11">
        <v>0.90537333787930496</v>
      </c>
      <c r="F927" s="16" t="s">
        <v>19</v>
      </c>
      <c r="G927" s="11">
        <v>0.77760126068346702</v>
      </c>
      <c r="H927" s="11">
        <v>0.76345242571464</v>
      </c>
    </row>
    <row r="928" spans="3:8">
      <c r="C928" s="31">
        <v>44560</v>
      </c>
      <c r="D928" s="11">
        <v>0.90537333787930496</v>
      </c>
      <c r="E928" s="11">
        <v>0.90537333787930496</v>
      </c>
      <c r="F928" s="16" t="s">
        <v>19</v>
      </c>
      <c r="G928" s="11">
        <v>0.77760126068346702</v>
      </c>
      <c r="H928" s="11">
        <v>0.76345242571464</v>
      </c>
    </row>
    <row r="929" spans="3:8">
      <c r="C929" s="31">
        <v>44559</v>
      </c>
      <c r="D929" s="11">
        <v>0.90537333787930496</v>
      </c>
      <c r="E929" s="11">
        <v>0.90537333787930496</v>
      </c>
      <c r="F929" s="16" t="s">
        <v>19</v>
      </c>
      <c r="G929" s="11">
        <v>0.77760126068346702</v>
      </c>
      <c r="H929" s="11">
        <v>0.76345242571464</v>
      </c>
    </row>
    <row r="930" spans="3:8">
      <c r="C930" s="31">
        <v>44558</v>
      </c>
      <c r="D930" s="11">
        <v>0.90537333787930496</v>
      </c>
      <c r="E930" s="11">
        <v>0.90537333787930496</v>
      </c>
      <c r="F930" s="16" t="s">
        <v>19</v>
      </c>
      <c r="G930" s="11">
        <v>0.77760126068346702</v>
      </c>
      <c r="H930" s="11">
        <v>0.76345242571464</v>
      </c>
    </row>
    <row r="931" spans="3:8">
      <c r="C931" s="31">
        <v>44557</v>
      </c>
      <c r="D931" s="11">
        <v>0.90537333787930496</v>
      </c>
      <c r="E931" s="11">
        <v>0.90537333787930496</v>
      </c>
      <c r="F931" s="16" t="s">
        <v>19</v>
      </c>
      <c r="G931" s="11">
        <v>0.77760126068346702</v>
      </c>
      <c r="H931" s="11">
        <v>0.76345242571464</v>
      </c>
    </row>
    <row r="932" spans="3:8">
      <c r="C932" s="31">
        <v>44554</v>
      </c>
      <c r="D932" s="11">
        <v>0.90537333787930496</v>
      </c>
      <c r="E932" s="11">
        <v>0.90537333787930496</v>
      </c>
      <c r="F932" s="16">
        <v>15</v>
      </c>
      <c r="G932" s="11">
        <v>0.77760126068346702</v>
      </c>
      <c r="H932" s="11">
        <v>0.76345242571464</v>
      </c>
    </row>
    <row r="933" spans="3:8">
      <c r="C933" s="31">
        <v>44553</v>
      </c>
      <c r="D933" s="11">
        <v>0.90537333787930496</v>
      </c>
      <c r="E933" s="11">
        <v>0.90537333787930496</v>
      </c>
      <c r="F933" s="16" t="s">
        <v>19</v>
      </c>
      <c r="G933" s="11">
        <v>0.77760126068346702</v>
      </c>
      <c r="H933" s="11">
        <v>0.76345242571464</v>
      </c>
    </row>
    <row r="934" spans="3:8">
      <c r="C934" s="31">
        <v>44552</v>
      </c>
      <c r="D934" s="11">
        <v>0.90537333787930496</v>
      </c>
      <c r="E934" s="11">
        <v>0.90537333787930496</v>
      </c>
      <c r="F934" s="16" t="s">
        <v>19</v>
      </c>
      <c r="G934" s="11">
        <v>0.77760126068346702</v>
      </c>
      <c r="H934" s="11">
        <v>0.76345242571464</v>
      </c>
    </row>
    <row r="935" spans="3:8">
      <c r="C935" s="31">
        <v>44551</v>
      </c>
      <c r="D935" s="11">
        <v>0.90537333787930496</v>
      </c>
      <c r="E935" s="11">
        <v>0.90537333787930496</v>
      </c>
      <c r="F935" s="16" t="s">
        <v>19</v>
      </c>
      <c r="G935" s="11">
        <v>0.77760126068346702</v>
      </c>
      <c r="H935" s="11">
        <v>0.76345242571464</v>
      </c>
    </row>
    <row r="936" spans="3:8">
      <c r="C936" s="31">
        <v>44550</v>
      </c>
      <c r="D936" s="11">
        <v>0.90537333787930496</v>
      </c>
      <c r="E936" s="11">
        <v>0.90537333787930496</v>
      </c>
      <c r="F936" s="16" t="s">
        <v>19</v>
      </c>
      <c r="G936" s="11">
        <v>0.77760126068346702</v>
      </c>
      <c r="H936" s="11">
        <v>0.76345242571464</v>
      </c>
    </row>
    <row r="937" spans="3:8">
      <c r="C937" s="31">
        <v>44547</v>
      </c>
      <c r="D937" s="11">
        <v>0.90537333787930496</v>
      </c>
      <c r="E937" s="11">
        <v>0.90537333787930496</v>
      </c>
      <c r="F937" s="16" t="s">
        <v>19</v>
      </c>
      <c r="G937" s="11">
        <v>0.77760126068346702</v>
      </c>
      <c r="H937" s="11">
        <v>0.76345242571464</v>
      </c>
    </row>
    <row r="938" spans="3:8">
      <c r="C938" s="31">
        <v>44546</v>
      </c>
      <c r="D938" s="11">
        <v>0.90537333787930496</v>
      </c>
      <c r="E938" s="11">
        <v>0.90537333787930496</v>
      </c>
      <c r="F938" s="16" t="s">
        <v>19</v>
      </c>
      <c r="G938" s="11">
        <v>0.77760126068346702</v>
      </c>
      <c r="H938" s="11">
        <v>0.76345242571464</v>
      </c>
    </row>
    <row r="939" spans="3:8">
      <c r="C939" s="31">
        <v>44545</v>
      </c>
      <c r="D939" s="11">
        <v>0.90537333787930496</v>
      </c>
      <c r="E939" s="11">
        <v>0.90537333787930496</v>
      </c>
      <c r="F939" s="16" t="s">
        <v>19</v>
      </c>
      <c r="G939" s="11">
        <v>0.77760126068346702</v>
      </c>
      <c r="H939" s="11">
        <v>0.76345242571464</v>
      </c>
    </row>
    <row r="940" spans="3:8">
      <c r="C940" s="31">
        <v>44544</v>
      </c>
      <c r="D940" s="11">
        <v>0.90537333787930496</v>
      </c>
      <c r="E940" s="11">
        <v>0.90537333787930496</v>
      </c>
      <c r="F940" s="16" t="s">
        <v>19</v>
      </c>
      <c r="G940" s="11">
        <v>0.77760126068346702</v>
      </c>
      <c r="H940" s="11">
        <v>0.76345242571464</v>
      </c>
    </row>
    <row r="941" spans="3:8">
      <c r="C941" s="31">
        <v>44543</v>
      </c>
      <c r="D941" s="11">
        <v>0.90537333787930496</v>
      </c>
      <c r="E941" s="11">
        <v>0.90537333787930496</v>
      </c>
      <c r="F941" s="16" t="s">
        <v>19</v>
      </c>
      <c r="G941" s="11">
        <v>0.77760126068346702</v>
      </c>
      <c r="H941" s="11">
        <v>0.76345242571464</v>
      </c>
    </row>
    <row r="942" spans="3:8">
      <c r="C942" s="31">
        <v>44540</v>
      </c>
      <c r="D942" s="11">
        <v>0.90537333787930496</v>
      </c>
      <c r="E942" s="11">
        <v>0.90537333787930496</v>
      </c>
      <c r="F942" s="16" t="s">
        <v>19</v>
      </c>
      <c r="G942" s="11">
        <v>0.77760126068346702</v>
      </c>
      <c r="H942" s="11">
        <v>0.76345242571464</v>
      </c>
    </row>
    <row r="943" spans="3:8">
      <c r="C943" s="31">
        <v>44539</v>
      </c>
      <c r="D943" s="11">
        <v>0.90537333787930496</v>
      </c>
      <c r="E943" s="11">
        <v>0.90537333787930496</v>
      </c>
      <c r="F943" s="16" t="s">
        <v>19</v>
      </c>
      <c r="G943" s="11">
        <v>0.77760126068346702</v>
      </c>
      <c r="H943" s="11">
        <v>0.76345242571464</v>
      </c>
    </row>
    <row r="944" spans="3:8">
      <c r="C944" s="31">
        <v>44538</v>
      </c>
      <c r="D944" s="11">
        <v>0.90537333787930496</v>
      </c>
      <c r="E944" s="11">
        <v>0.90537333787930496</v>
      </c>
      <c r="F944" s="16" t="s">
        <v>19</v>
      </c>
      <c r="G944" s="11">
        <v>0.77760126068346702</v>
      </c>
      <c r="H944" s="11">
        <v>0.76345242571464</v>
      </c>
    </row>
    <row r="945" spans="3:8">
      <c r="C945" s="31">
        <v>44537</v>
      </c>
      <c r="D945" s="11">
        <v>0.90537333787930496</v>
      </c>
      <c r="E945" s="11">
        <v>0.90537333787930496</v>
      </c>
      <c r="F945" s="16" t="s">
        <v>19</v>
      </c>
      <c r="G945" s="11">
        <v>0.77760126068346702</v>
      </c>
      <c r="H945" s="11">
        <v>0.76345242571464</v>
      </c>
    </row>
    <row r="946" spans="3:8">
      <c r="C946" s="31">
        <v>44536</v>
      </c>
      <c r="D946" s="11">
        <v>0.90537333787930496</v>
      </c>
      <c r="E946" s="11">
        <v>0.90537333787930496</v>
      </c>
      <c r="F946" s="16" t="s">
        <v>19</v>
      </c>
      <c r="G946" s="11">
        <v>0.77760126068346702</v>
      </c>
      <c r="H946" s="11">
        <v>0.76345242571464</v>
      </c>
    </row>
    <row r="947" spans="3:8">
      <c r="C947" s="31">
        <v>44533</v>
      </c>
      <c r="D947" s="11">
        <v>0.90537333787930496</v>
      </c>
      <c r="E947" s="11">
        <v>0.90537333787930496</v>
      </c>
      <c r="F947" s="16" t="s">
        <v>19</v>
      </c>
      <c r="G947" s="11">
        <v>0.77760126068346702</v>
      </c>
      <c r="H947" s="11">
        <v>0.76345242571464</v>
      </c>
    </row>
    <row r="948" spans="3:8">
      <c r="C948" s="31">
        <v>44532</v>
      </c>
      <c r="D948" s="11">
        <v>0.90537333787930496</v>
      </c>
      <c r="E948" s="11">
        <v>0.90537333787930496</v>
      </c>
      <c r="F948" s="16" t="s">
        <v>19</v>
      </c>
      <c r="G948" s="11">
        <v>0.77760126068346702</v>
      </c>
      <c r="H948" s="11">
        <v>0.76345242571464</v>
      </c>
    </row>
    <row r="949" spans="3:8">
      <c r="C949" s="31">
        <v>44531</v>
      </c>
      <c r="D949" s="11">
        <v>0.90537333787930496</v>
      </c>
      <c r="E949" s="11">
        <v>0.90537333787930496</v>
      </c>
      <c r="F949" s="16" t="s">
        <v>19</v>
      </c>
      <c r="G949" s="11">
        <v>0.77760126068346702</v>
      </c>
      <c r="H949" s="11">
        <v>0.76345242571464</v>
      </c>
    </row>
    <row r="950" spans="3:8">
      <c r="C950" s="31">
        <v>44530</v>
      </c>
      <c r="D950" s="11">
        <v>0.90537333787930496</v>
      </c>
      <c r="E950" s="11">
        <v>0.90537333787930496</v>
      </c>
      <c r="F950" s="16" t="s">
        <v>19</v>
      </c>
      <c r="G950" s="11">
        <v>0.77760126068346702</v>
      </c>
      <c r="H950" s="11">
        <v>0.76345242571464</v>
      </c>
    </row>
    <row r="951" spans="3:8">
      <c r="C951" s="31">
        <v>44529</v>
      </c>
      <c r="D951" s="11">
        <v>0.90537333787930496</v>
      </c>
      <c r="E951" s="11">
        <v>0.90537333787930496</v>
      </c>
      <c r="F951" s="16" t="s">
        <v>19</v>
      </c>
      <c r="G951" s="11">
        <v>0.77760126068346702</v>
      </c>
      <c r="H951" s="11">
        <v>0.76345242571464</v>
      </c>
    </row>
    <row r="952" spans="3:8">
      <c r="C952" s="31">
        <v>44526</v>
      </c>
      <c r="D952" s="11">
        <v>0.90537333787930496</v>
      </c>
      <c r="E952" s="11">
        <v>0.90537333787930496</v>
      </c>
      <c r="F952" s="16" t="s">
        <v>19</v>
      </c>
      <c r="G952" s="11">
        <v>0.77760126068346702</v>
      </c>
      <c r="H952" s="11">
        <v>0.76345242571464</v>
      </c>
    </row>
    <row r="953" spans="3:8">
      <c r="C953" s="31">
        <v>44525</v>
      </c>
      <c r="D953" s="11">
        <v>0.90537333787930496</v>
      </c>
      <c r="E953" s="11">
        <v>0.90537333787930496</v>
      </c>
      <c r="F953" s="16" t="s">
        <v>19</v>
      </c>
      <c r="G953" s="11">
        <v>0.77760126068346702</v>
      </c>
      <c r="H953" s="11">
        <v>0.76345242571464</v>
      </c>
    </row>
    <row r="954" spans="3:8">
      <c r="C954" s="31">
        <v>44524</v>
      </c>
      <c r="D954" s="11">
        <v>0.90537333787930496</v>
      </c>
      <c r="E954" s="11">
        <v>0.90537333787930496</v>
      </c>
      <c r="F954" s="16" t="s">
        <v>19</v>
      </c>
      <c r="G954" s="11">
        <v>0.77760126068346702</v>
      </c>
      <c r="H954" s="11">
        <v>0.76345242571464</v>
      </c>
    </row>
    <row r="955" spans="3:8">
      <c r="C955" s="31">
        <v>44523</v>
      </c>
      <c r="D955" s="11">
        <v>0.90537333787930496</v>
      </c>
      <c r="E955" s="11">
        <v>0.90537333787930496</v>
      </c>
      <c r="F955" s="16" t="s">
        <v>19</v>
      </c>
      <c r="G955" s="11">
        <v>0.77760126068346702</v>
      </c>
      <c r="H955" s="11">
        <v>0.76345242571464</v>
      </c>
    </row>
    <row r="956" spans="3:8">
      <c r="C956" s="31">
        <v>44522</v>
      </c>
      <c r="D956" s="11">
        <v>0.90537333787930496</v>
      </c>
      <c r="E956" s="11">
        <v>0.90537333787930496</v>
      </c>
      <c r="F956" s="16" t="s">
        <v>19</v>
      </c>
      <c r="G956" s="11">
        <v>0.77760126068346702</v>
      </c>
      <c r="H956" s="11">
        <v>0.76345242571464</v>
      </c>
    </row>
    <row r="957" spans="3:8">
      <c r="C957" s="31">
        <v>44519</v>
      </c>
      <c r="D957" s="11">
        <v>0.90537333787930496</v>
      </c>
      <c r="E957" s="11">
        <v>0.90537333787930496</v>
      </c>
      <c r="F957" s="16" t="s">
        <v>19</v>
      </c>
      <c r="G957" s="11">
        <v>0.77760126068346702</v>
      </c>
      <c r="H957" s="11">
        <v>0.76345242571464</v>
      </c>
    </row>
    <row r="958" spans="3:8">
      <c r="C958" s="31">
        <v>44518</v>
      </c>
      <c r="D958" s="11">
        <v>0.90537333787930496</v>
      </c>
      <c r="E958" s="11">
        <v>0.90537333787930496</v>
      </c>
      <c r="F958" s="16" t="s">
        <v>19</v>
      </c>
      <c r="G958" s="11">
        <v>0.77760126068346702</v>
      </c>
      <c r="H958" s="11">
        <v>0.76345242571464</v>
      </c>
    </row>
    <row r="959" spans="3:8">
      <c r="C959" s="31">
        <v>44517</v>
      </c>
      <c r="D959" s="11">
        <v>0.90537333787930496</v>
      </c>
      <c r="E959" s="11">
        <v>0.90537333787930496</v>
      </c>
      <c r="F959" s="16" t="s">
        <v>19</v>
      </c>
      <c r="G959" s="11">
        <v>0.77760126068346702</v>
      </c>
      <c r="H959" s="11">
        <v>0.76345242571464</v>
      </c>
    </row>
    <row r="960" spans="3:8">
      <c r="C960" s="31">
        <v>44516</v>
      </c>
      <c r="D960" s="11">
        <v>0.90537333787930496</v>
      </c>
      <c r="E960" s="11">
        <v>0.90537333787930496</v>
      </c>
      <c r="F960" s="16" t="s">
        <v>19</v>
      </c>
      <c r="G960" s="11">
        <v>0.77760126068346702</v>
      </c>
      <c r="H960" s="11">
        <v>0.76345242571464</v>
      </c>
    </row>
    <row r="961" spans="3:8">
      <c r="C961" s="31">
        <v>44515</v>
      </c>
      <c r="D961" s="11">
        <v>0.90537333787930496</v>
      </c>
      <c r="E961" s="11">
        <v>0.90537333787930496</v>
      </c>
      <c r="F961" s="16" t="s">
        <v>19</v>
      </c>
      <c r="G961" s="11">
        <v>0.77760126068346702</v>
      </c>
      <c r="H961" s="11">
        <v>0.76345242571464</v>
      </c>
    </row>
    <row r="962" spans="3:8">
      <c r="C962" s="31">
        <v>44512</v>
      </c>
      <c r="D962" s="11">
        <v>0.90537333787930496</v>
      </c>
      <c r="E962" s="11">
        <v>0.90537333787930496</v>
      </c>
      <c r="F962" s="16" t="s">
        <v>19</v>
      </c>
      <c r="G962" s="11">
        <v>0.77760126068346702</v>
      </c>
      <c r="H962" s="11">
        <v>0.76345242571464</v>
      </c>
    </row>
    <row r="963" spans="3:8">
      <c r="C963" s="31">
        <v>44511</v>
      </c>
      <c r="D963" s="11">
        <v>0.90537333787930496</v>
      </c>
      <c r="E963" s="11">
        <v>0.90537333787930496</v>
      </c>
      <c r="F963" s="16" t="s">
        <v>19</v>
      </c>
      <c r="G963" s="11">
        <v>0.77760126068346702</v>
      </c>
      <c r="H963" s="11">
        <v>0.76345242571464</v>
      </c>
    </row>
    <row r="964" spans="3:8">
      <c r="C964" s="31">
        <v>44510</v>
      </c>
      <c r="D964" s="11">
        <v>0.90537333787930496</v>
      </c>
      <c r="E964" s="11">
        <v>0.90537333787930496</v>
      </c>
      <c r="F964" s="16" t="s">
        <v>19</v>
      </c>
      <c r="G964" s="11">
        <v>0.77760126068346702</v>
      </c>
      <c r="H964" s="11">
        <v>0.76345242571464</v>
      </c>
    </row>
    <row r="965" spans="3:8">
      <c r="C965" s="31">
        <v>44509</v>
      </c>
      <c r="D965" s="11">
        <v>0.90537333787930496</v>
      </c>
      <c r="E965" s="11">
        <v>0.90537333787930496</v>
      </c>
      <c r="F965" s="16" t="s">
        <v>19</v>
      </c>
      <c r="G965" s="11">
        <v>0.77760126068346702</v>
      </c>
      <c r="H965" s="11">
        <v>0.76345242571464</v>
      </c>
    </row>
    <row r="966" spans="3:8">
      <c r="C966" s="31">
        <v>44508</v>
      </c>
      <c r="D966" s="11">
        <v>0.90537333787930496</v>
      </c>
      <c r="E966" s="11">
        <v>0.90537333787930496</v>
      </c>
      <c r="F966" s="16" t="s">
        <v>19</v>
      </c>
      <c r="G966" s="11">
        <v>0.77760126068346702</v>
      </c>
      <c r="H966" s="11">
        <v>0.76345242571464</v>
      </c>
    </row>
    <row r="967" spans="3:8">
      <c r="C967" s="31">
        <v>44505</v>
      </c>
      <c r="D967" s="11">
        <v>0.90537333787930496</v>
      </c>
      <c r="E967" s="11">
        <v>0.90537333787930496</v>
      </c>
      <c r="F967" s="16" t="s">
        <v>19</v>
      </c>
      <c r="G967" s="11">
        <v>0.77760126068346702</v>
      </c>
      <c r="H967" s="11">
        <v>0.76345242571464</v>
      </c>
    </row>
    <row r="968" spans="3:8">
      <c r="C968" s="31">
        <v>44504</v>
      </c>
      <c r="D968" s="11">
        <v>0.90537333787930496</v>
      </c>
      <c r="E968" s="11">
        <v>0.90537333787930496</v>
      </c>
      <c r="F968" s="16" t="s">
        <v>19</v>
      </c>
      <c r="G968" s="11">
        <v>0.77760126068346702</v>
      </c>
      <c r="H968" s="11">
        <v>0.76345242571464</v>
      </c>
    </row>
    <row r="969" spans="3:8">
      <c r="C969" s="31">
        <v>44503</v>
      </c>
      <c r="D969" s="11">
        <v>0.90537333787930496</v>
      </c>
      <c r="E969" s="11">
        <v>0.90537333787930496</v>
      </c>
      <c r="F969" s="16" t="s">
        <v>19</v>
      </c>
      <c r="G969" s="11">
        <v>0.77760126068346702</v>
      </c>
      <c r="H969" s="11">
        <v>0.76345242571464</v>
      </c>
    </row>
    <row r="970" spans="3:8">
      <c r="C970" s="31">
        <v>44502</v>
      </c>
      <c r="D970" s="11">
        <v>0.90537333787930496</v>
      </c>
      <c r="E970" s="11">
        <v>0.90537333787930496</v>
      </c>
      <c r="F970" s="16" t="s">
        <v>19</v>
      </c>
      <c r="G970" s="11">
        <v>0.77760126068346702</v>
      </c>
      <c r="H970" s="11">
        <v>0.76345242571464</v>
      </c>
    </row>
    <row r="971" spans="3:8">
      <c r="C971" s="31">
        <v>44501</v>
      </c>
      <c r="D971" s="11">
        <v>0.90537333787930496</v>
      </c>
      <c r="E971" s="11">
        <v>0.90537333787930496</v>
      </c>
      <c r="F971" s="16" t="s">
        <v>19</v>
      </c>
      <c r="G971" s="11">
        <v>0.77760126068346702</v>
      </c>
      <c r="H971" s="11">
        <v>0.76345242571464</v>
      </c>
    </row>
    <row r="972" spans="3:8">
      <c r="C972" s="31">
        <v>44498</v>
      </c>
      <c r="D972" s="11">
        <v>0.90537333787930496</v>
      </c>
      <c r="E972" s="11">
        <v>0.90537333787930496</v>
      </c>
      <c r="F972" s="16" t="s">
        <v>19</v>
      </c>
      <c r="G972" s="11">
        <v>0.77760126068346702</v>
      </c>
      <c r="H972" s="11">
        <v>0.76345242571464</v>
      </c>
    </row>
    <row r="973" spans="3:8">
      <c r="C973" s="31">
        <v>44497</v>
      </c>
      <c r="D973" s="11">
        <v>0.90537333787930496</v>
      </c>
      <c r="E973" s="11">
        <v>0.90537333787930496</v>
      </c>
      <c r="F973" s="16" t="s">
        <v>19</v>
      </c>
      <c r="G973" s="11">
        <v>0.77760126068346702</v>
      </c>
      <c r="H973" s="11">
        <v>0.76345242571464</v>
      </c>
    </row>
    <row r="974" spans="3:8">
      <c r="C974" s="31">
        <v>44496</v>
      </c>
      <c r="D974" s="11">
        <v>0.90537333787930496</v>
      </c>
      <c r="E974" s="11">
        <v>0.90537333787930496</v>
      </c>
      <c r="F974" s="16" t="s">
        <v>19</v>
      </c>
      <c r="G974" s="11">
        <v>0.77760126068346702</v>
      </c>
      <c r="H974" s="11">
        <v>0.76345242571464</v>
      </c>
    </row>
    <row r="975" spans="3:8">
      <c r="C975" s="31">
        <v>44495</v>
      </c>
      <c r="D975" s="11">
        <v>0.90537333787930496</v>
      </c>
      <c r="E975" s="11">
        <v>0.90537333787930496</v>
      </c>
      <c r="F975" s="16" t="s">
        <v>19</v>
      </c>
      <c r="G975" s="11">
        <v>0.77760126068346702</v>
      </c>
      <c r="H975" s="11">
        <v>0.76345242571464</v>
      </c>
    </row>
    <row r="976" spans="3:8">
      <c r="C976" s="31">
        <v>44494</v>
      </c>
      <c r="D976" s="11">
        <v>0.90537333787930496</v>
      </c>
      <c r="E976" s="11">
        <v>0.90537333787930496</v>
      </c>
      <c r="F976" s="16" t="s">
        <v>19</v>
      </c>
      <c r="G976" s="11">
        <v>0.77760126068346702</v>
      </c>
      <c r="H976" s="11">
        <v>0.76345242571464</v>
      </c>
    </row>
    <row r="977" spans="3:8">
      <c r="C977" s="31">
        <v>44491</v>
      </c>
      <c r="D977" s="11">
        <v>0.90537333787930496</v>
      </c>
      <c r="E977" s="11">
        <v>0.90537333787930496</v>
      </c>
      <c r="F977" s="16" t="s">
        <v>19</v>
      </c>
      <c r="G977" s="11">
        <v>0.77760126068346702</v>
      </c>
      <c r="H977" s="11">
        <v>0.76345242571464</v>
      </c>
    </row>
    <row r="978" spans="3:8">
      <c r="C978" s="31">
        <v>44490</v>
      </c>
      <c r="D978" s="11">
        <v>0.90537333787930496</v>
      </c>
      <c r="E978" s="11">
        <v>0.90537333787930496</v>
      </c>
      <c r="F978" s="16" t="s">
        <v>19</v>
      </c>
      <c r="G978" s="11">
        <v>0.77760126068346702</v>
      </c>
      <c r="H978" s="11">
        <v>0.76345242571464</v>
      </c>
    </row>
    <row r="979" spans="3:8">
      <c r="C979" s="31">
        <v>44489</v>
      </c>
      <c r="D979" s="11">
        <v>0.90537333787930496</v>
      </c>
      <c r="E979" s="11">
        <v>0.90537333787930496</v>
      </c>
      <c r="F979" s="16" t="s">
        <v>19</v>
      </c>
      <c r="G979" s="11">
        <v>0.77760126068346702</v>
      </c>
      <c r="H979" s="11">
        <v>0.76345242571464</v>
      </c>
    </row>
    <row r="980" spans="3:8">
      <c r="C980" s="31">
        <v>44488</v>
      </c>
      <c r="D980" s="11">
        <v>0.90537333787930496</v>
      </c>
      <c r="E980" s="11">
        <v>0.90537333787930496</v>
      </c>
      <c r="F980" s="16" t="s">
        <v>19</v>
      </c>
      <c r="G980" s="11">
        <v>0.77760126068346702</v>
      </c>
      <c r="H980" s="11">
        <v>0.76345242571464</v>
      </c>
    </row>
    <row r="981" spans="3:8">
      <c r="C981" s="31">
        <v>44487</v>
      </c>
      <c r="D981" s="11">
        <v>0.90537333787930496</v>
      </c>
      <c r="E981" s="11">
        <v>0.90537333787930496</v>
      </c>
      <c r="F981" s="16" t="s">
        <v>19</v>
      </c>
      <c r="G981" s="11">
        <v>0.77760126068346702</v>
      </c>
      <c r="H981" s="11">
        <v>0.76345242571464</v>
      </c>
    </row>
    <row r="982" spans="3:8">
      <c r="C982" s="31">
        <v>44484</v>
      </c>
      <c r="D982" s="11">
        <v>0.90537333787930496</v>
      </c>
      <c r="E982" s="11">
        <v>0.90537333787930496</v>
      </c>
      <c r="F982" s="16" t="s">
        <v>19</v>
      </c>
      <c r="G982" s="11">
        <v>0.77760126068346702</v>
      </c>
      <c r="H982" s="11">
        <v>0.76345242571464</v>
      </c>
    </row>
    <row r="983" spans="3:8">
      <c r="C983" s="31">
        <v>44483</v>
      </c>
      <c r="D983" s="11">
        <v>0.90537333787930496</v>
      </c>
      <c r="E983" s="11">
        <v>0.90537333787930496</v>
      </c>
      <c r="F983" s="16" t="s">
        <v>19</v>
      </c>
      <c r="G983" s="11">
        <v>0.77760126068346702</v>
      </c>
      <c r="H983" s="11">
        <v>0.76345242571464</v>
      </c>
    </row>
    <row r="984" spans="3:8">
      <c r="C984" s="31">
        <v>44482</v>
      </c>
      <c r="D984" s="11">
        <v>0.90537333787930496</v>
      </c>
      <c r="E984" s="11">
        <v>0.90537333787930496</v>
      </c>
      <c r="F984" s="16" t="s">
        <v>19</v>
      </c>
      <c r="G984" s="11">
        <v>0.77760126068346702</v>
      </c>
      <c r="H984" s="11">
        <v>0.76345242571464</v>
      </c>
    </row>
    <row r="985" spans="3:8">
      <c r="C985" s="31">
        <v>44481</v>
      </c>
      <c r="D985" s="11">
        <v>0.90537333787930496</v>
      </c>
      <c r="E985" s="11">
        <v>0.90537333787930496</v>
      </c>
      <c r="F985" s="16" t="s">
        <v>19</v>
      </c>
      <c r="G985" s="11">
        <v>0.77760126068346702</v>
      </c>
      <c r="H985" s="11">
        <v>0.76345242571464</v>
      </c>
    </row>
    <row r="986" spans="3:8">
      <c r="C986" s="31">
        <v>44480</v>
      </c>
      <c r="D986" s="11">
        <v>0.90537333787930496</v>
      </c>
      <c r="E986" s="11">
        <v>0.90537333787930496</v>
      </c>
      <c r="F986" s="16" t="s">
        <v>19</v>
      </c>
      <c r="G986" s="11">
        <v>0.77760126068346702</v>
      </c>
      <c r="H986" s="11">
        <v>0.76345242571464</v>
      </c>
    </row>
    <row r="987" spans="3:8">
      <c r="C987" s="31">
        <v>44477</v>
      </c>
      <c r="D987" s="11">
        <v>0.90537333787930496</v>
      </c>
      <c r="E987" s="11">
        <v>0.90537333787930496</v>
      </c>
      <c r="F987" s="16" t="s">
        <v>19</v>
      </c>
      <c r="G987" s="11">
        <v>0.77760126068346702</v>
      </c>
      <c r="H987" s="11">
        <v>0.76345242571464</v>
      </c>
    </row>
    <row r="988" spans="3:8">
      <c r="C988" s="31">
        <v>44476</v>
      </c>
      <c r="D988" s="11">
        <v>0.90537333787930496</v>
      </c>
      <c r="E988" s="11">
        <v>0.90537333787930496</v>
      </c>
      <c r="F988" s="16" t="s">
        <v>19</v>
      </c>
      <c r="G988" s="11">
        <v>0.77760126068346702</v>
      </c>
      <c r="H988" s="11">
        <v>0.76345242571464</v>
      </c>
    </row>
    <row r="989" spans="3:8">
      <c r="C989" s="31">
        <v>44475</v>
      </c>
      <c r="D989" s="16">
        <v>0.90537333787930496</v>
      </c>
      <c r="E989" s="16">
        <v>0.90537333787930496</v>
      </c>
      <c r="F989" s="16" t="s">
        <v>19</v>
      </c>
      <c r="G989" s="11">
        <v>0.77760126068346702</v>
      </c>
      <c r="H989" s="11">
        <v>0.76345242571464</v>
      </c>
    </row>
    <row r="990" spans="3:8">
      <c r="C990" s="31">
        <v>44474</v>
      </c>
      <c r="D990" s="16">
        <v>0.90537333787930496</v>
      </c>
      <c r="E990" s="16">
        <v>0.90537333787930496</v>
      </c>
      <c r="F990" s="16" t="s">
        <v>19</v>
      </c>
      <c r="G990" s="11">
        <v>0.77760126068346702</v>
      </c>
      <c r="H990" s="11">
        <v>0.76345242571464</v>
      </c>
    </row>
    <row r="991" spans="3:8">
      <c r="C991" s="31">
        <v>44473</v>
      </c>
      <c r="D991" s="16">
        <v>0.90537333787930496</v>
      </c>
      <c r="E991" s="16">
        <v>0.90537333787930496</v>
      </c>
      <c r="F991" s="16" t="s">
        <v>19</v>
      </c>
      <c r="G991" s="11">
        <v>0.77760126068346702</v>
      </c>
      <c r="H991" s="11">
        <v>0.76345242571464</v>
      </c>
    </row>
    <row r="992" spans="3:8">
      <c r="C992" s="31">
        <v>44470</v>
      </c>
      <c r="D992" s="16">
        <v>0.90537333787930496</v>
      </c>
      <c r="E992" s="16">
        <v>0.90537333787930496</v>
      </c>
      <c r="F992" s="16" t="s">
        <v>19</v>
      </c>
      <c r="G992" s="11">
        <v>0.77760126068346702</v>
      </c>
      <c r="H992" s="11">
        <v>0.76345242571464</v>
      </c>
    </row>
    <row r="993" spans="3:8">
      <c r="C993" s="31">
        <v>44469</v>
      </c>
      <c r="D993" s="16">
        <v>0.90537333787930496</v>
      </c>
      <c r="E993" s="16">
        <v>0.90537333787930496</v>
      </c>
      <c r="F993" s="16" t="s">
        <v>19</v>
      </c>
      <c r="G993" s="11">
        <v>0.77760126068346702</v>
      </c>
      <c r="H993" s="11">
        <v>0.76345242571464</v>
      </c>
    </row>
    <row r="994" spans="3:8">
      <c r="C994" s="31">
        <v>44468</v>
      </c>
      <c r="D994" s="16">
        <v>0.90537333787930496</v>
      </c>
      <c r="E994" s="16">
        <v>0.90537333787930496</v>
      </c>
      <c r="F994" s="16" t="s">
        <v>19</v>
      </c>
      <c r="G994" s="11">
        <v>0.77760126068346702</v>
      </c>
      <c r="H994" s="11">
        <v>0.76345242571464</v>
      </c>
    </row>
    <row r="995" spans="3:8">
      <c r="C995" s="31">
        <v>44467</v>
      </c>
      <c r="D995" s="16">
        <v>0.90537333787930496</v>
      </c>
      <c r="E995" s="16">
        <v>0.90537333787930496</v>
      </c>
      <c r="F995" s="16" t="s">
        <v>19</v>
      </c>
      <c r="G995" s="11">
        <v>0.77760126068346702</v>
      </c>
      <c r="H995" s="11">
        <v>0.76345242571464</v>
      </c>
    </row>
    <row r="996" spans="3:8">
      <c r="C996" s="31">
        <v>44466</v>
      </c>
      <c r="D996" s="16">
        <v>0.90537333787930496</v>
      </c>
      <c r="E996" s="16">
        <v>0.90537333787930496</v>
      </c>
      <c r="F996" s="16" t="s">
        <v>19</v>
      </c>
      <c r="G996" s="11">
        <v>0.77760126068346702</v>
      </c>
      <c r="H996" s="11">
        <v>0.76345242571464</v>
      </c>
    </row>
    <row r="997" spans="3:8">
      <c r="C997" s="31">
        <v>44463</v>
      </c>
      <c r="D997" s="16">
        <v>0.90537333787930496</v>
      </c>
      <c r="E997" s="16">
        <v>0.90537333787930496</v>
      </c>
      <c r="F997" s="16" t="s">
        <v>19</v>
      </c>
      <c r="G997" s="11">
        <v>0.77760126068346702</v>
      </c>
      <c r="H997" s="11">
        <v>0.76345242571464</v>
      </c>
    </row>
    <row r="998" spans="3:8">
      <c r="C998" s="31">
        <v>44462</v>
      </c>
      <c r="D998" s="16">
        <v>0.90537333787930496</v>
      </c>
      <c r="E998" s="16">
        <v>0.90537333787930496</v>
      </c>
      <c r="F998" s="16" t="s">
        <v>19</v>
      </c>
      <c r="G998" s="11">
        <v>0.77760126068346702</v>
      </c>
      <c r="H998" s="11">
        <v>0.76345242571464</v>
      </c>
    </row>
    <row r="999" spans="3:8">
      <c r="C999" s="31">
        <v>44461</v>
      </c>
      <c r="D999" s="16">
        <v>0.90537333787930496</v>
      </c>
      <c r="E999" s="16">
        <v>0.90537333787930496</v>
      </c>
      <c r="F999" s="16" t="s">
        <v>19</v>
      </c>
      <c r="G999" s="11">
        <v>0.77760126068346702</v>
      </c>
      <c r="H999" s="11">
        <v>0.76345242571464</v>
      </c>
    </row>
    <row r="1000" spans="3:8">
      <c r="C1000" s="31">
        <v>44460</v>
      </c>
      <c r="D1000" s="16">
        <v>0.90537333787930496</v>
      </c>
      <c r="E1000" s="16">
        <v>0.90537333787930496</v>
      </c>
      <c r="F1000" s="16" t="s">
        <v>19</v>
      </c>
      <c r="G1000" s="11">
        <v>0.77760126068346702</v>
      </c>
      <c r="H1000" s="11">
        <v>0.76345242571464</v>
      </c>
    </row>
    <row r="1001" spans="3:8">
      <c r="C1001" s="31">
        <v>44459</v>
      </c>
      <c r="D1001" s="16">
        <v>0.90537333787930496</v>
      </c>
      <c r="E1001" s="16">
        <v>0.90537333787930496</v>
      </c>
      <c r="F1001" s="16" t="s">
        <v>19</v>
      </c>
      <c r="G1001" s="11">
        <v>0.77760126068346702</v>
      </c>
      <c r="H1001" s="11">
        <v>0.76345242571464</v>
      </c>
    </row>
    <row r="1002" spans="3:8">
      <c r="C1002" s="31">
        <v>44456</v>
      </c>
      <c r="D1002" s="16">
        <v>0.90537333787930496</v>
      </c>
      <c r="E1002" s="16">
        <v>0.90537333787930496</v>
      </c>
      <c r="F1002" s="16" t="s">
        <v>19</v>
      </c>
      <c r="G1002" s="11">
        <v>0.77760126068346702</v>
      </c>
      <c r="H1002" s="11">
        <v>0.76345242571464</v>
      </c>
    </row>
    <row r="1003" spans="3:8">
      <c r="C1003" s="31">
        <v>44455</v>
      </c>
      <c r="D1003" s="16">
        <v>0.90537333787930496</v>
      </c>
      <c r="E1003" s="16">
        <v>0.90537333787930496</v>
      </c>
      <c r="F1003" s="16" t="s">
        <v>19</v>
      </c>
      <c r="G1003" s="16">
        <v>0.77760126068346702</v>
      </c>
      <c r="H1003" s="16">
        <v>0.76345242571464</v>
      </c>
    </row>
    <row r="1004" spans="3:8">
      <c r="C1004" s="31">
        <v>44454</v>
      </c>
      <c r="D1004" s="16">
        <v>0.90537333787930496</v>
      </c>
      <c r="E1004" s="16">
        <v>0.90537333787930496</v>
      </c>
      <c r="F1004" s="16" t="s">
        <v>19</v>
      </c>
      <c r="G1004" s="16">
        <v>0.77760126068346702</v>
      </c>
      <c r="H1004" s="16">
        <v>0.76345242571464</v>
      </c>
    </row>
    <row r="1005" spans="3:8">
      <c r="C1005" s="31">
        <v>44453</v>
      </c>
      <c r="D1005" s="16">
        <v>0.90537333787930496</v>
      </c>
      <c r="E1005" s="16">
        <v>0.90537333787930496</v>
      </c>
      <c r="F1005" s="16" t="s">
        <v>19</v>
      </c>
      <c r="G1005" s="16">
        <v>0.77760126068346702</v>
      </c>
      <c r="H1005" s="16">
        <v>0.76345242571464</v>
      </c>
    </row>
    <row r="1006" spans="3:8">
      <c r="C1006" s="31">
        <v>44452</v>
      </c>
      <c r="D1006" s="16">
        <v>0.90537333787930496</v>
      </c>
      <c r="E1006" s="16">
        <v>0.90537333787930496</v>
      </c>
      <c r="F1006" s="16" t="s">
        <v>19</v>
      </c>
      <c r="G1006" s="16">
        <v>0.77760126068346702</v>
      </c>
      <c r="H1006" s="16">
        <v>0.76345242571464</v>
      </c>
    </row>
    <row r="1007" spans="3:8">
      <c r="C1007" s="31">
        <v>44449</v>
      </c>
      <c r="D1007" s="16">
        <v>0.90537333787930496</v>
      </c>
      <c r="E1007" s="16">
        <v>0.90537333787930496</v>
      </c>
      <c r="F1007" s="16" t="s">
        <v>19</v>
      </c>
      <c r="G1007" s="16">
        <v>0.77760126068346702</v>
      </c>
      <c r="H1007" s="16">
        <v>0.76345242571464</v>
      </c>
    </row>
    <row r="1008" spans="3:8">
      <c r="C1008" s="31">
        <v>44448</v>
      </c>
      <c r="D1008" s="16">
        <v>0.90537333787930496</v>
      </c>
      <c r="E1008" s="16">
        <v>0.90537333787930496</v>
      </c>
      <c r="F1008" s="16" t="s">
        <v>19</v>
      </c>
      <c r="G1008" s="16">
        <v>0.77760126068346702</v>
      </c>
      <c r="H1008" s="16">
        <v>0.76345242571464</v>
      </c>
    </row>
    <row r="1009" spans="3:8">
      <c r="C1009" s="31">
        <v>44447</v>
      </c>
      <c r="D1009" s="16">
        <v>0.90537333787930496</v>
      </c>
      <c r="E1009" s="16">
        <v>0.90537333787930496</v>
      </c>
      <c r="F1009" s="16" t="s">
        <v>19</v>
      </c>
      <c r="G1009" s="16">
        <v>0.77760126068346702</v>
      </c>
      <c r="H1009" s="16">
        <v>0.76345242571464</v>
      </c>
    </row>
    <row r="1010" spans="3:8">
      <c r="C1010" s="31">
        <v>44446</v>
      </c>
      <c r="D1010" s="16">
        <v>0.90537333787930496</v>
      </c>
      <c r="E1010" s="16">
        <v>0.90537333787930496</v>
      </c>
      <c r="F1010" s="16" t="s">
        <v>19</v>
      </c>
      <c r="G1010" s="16">
        <v>0.77760126068346702</v>
      </c>
      <c r="H1010" s="16">
        <v>0.76345242571464</v>
      </c>
    </row>
    <row r="1011" spans="3:8">
      <c r="C1011" s="31">
        <v>44445</v>
      </c>
      <c r="D1011" s="16">
        <v>0.90537333787930496</v>
      </c>
      <c r="E1011" s="16">
        <v>0.90537333787930496</v>
      </c>
      <c r="F1011" s="16" t="s">
        <v>19</v>
      </c>
      <c r="G1011" s="16">
        <v>0.77760126068346702</v>
      </c>
      <c r="H1011" s="16">
        <v>0.76345242571464</v>
      </c>
    </row>
    <row r="1012" spans="3:8">
      <c r="C1012" s="31">
        <v>44442</v>
      </c>
      <c r="D1012" s="16">
        <v>0.90537333787930496</v>
      </c>
      <c r="E1012" s="16">
        <v>0.90537333787930496</v>
      </c>
      <c r="F1012" s="16" t="s">
        <v>19</v>
      </c>
      <c r="G1012" s="16">
        <v>0.77760126068346702</v>
      </c>
      <c r="H1012" s="16">
        <v>0.76345242571464</v>
      </c>
    </row>
    <row r="1013" spans="3:8">
      <c r="C1013" s="31">
        <v>44441</v>
      </c>
      <c r="D1013" s="16">
        <v>0.90537333787930496</v>
      </c>
      <c r="E1013" s="16">
        <v>0.90537333787930496</v>
      </c>
      <c r="F1013" s="16" t="s">
        <v>19</v>
      </c>
      <c r="G1013" s="16">
        <v>0.77760126068346702</v>
      </c>
      <c r="H1013" s="16">
        <v>0.76345242571464</v>
      </c>
    </row>
    <row r="1014" spans="3:8">
      <c r="C1014" s="31">
        <v>44440</v>
      </c>
      <c r="D1014" s="16">
        <v>0.90537333787930496</v>
      </c>
      <c r="E1014" s="16">
        <v>0.90537333787930496</v>
      </c>
      <c r="F1014" s="16" t="s">
        <v>19</v>
      </c>
      <c r="G1014" s="16">
        <v>0.77760126068346702</v>
      </c>
      <c r="H1014" s="16">
        <v>0.76345242571464</v>
      </c>
    </row>
    <row r="1015" spans="3:8">
      <c r="C1015" s="31">
        <v>44439</v>
      </c>
      <c r="D1015" s="16">
        <v>0.90537333787930496</v>
      </c>
      <c r="E1015" s="16">
        <v>0.90537333787930496</v>
      </c>
      <c r="F1015" s="16" t="s">
        <v>19</v>
      </c>
      <c r="G1015" s="16">
        <v>0.77760126068346702</v>
      </c>
      <c r="H1015" s="16">
        <v>0.76345242571464</v>
      </c>
    </row>
    <row r="1016" spans="3:8">
      <c r="C1016" s="31">
        <v>44438</v>
      </c>
      <c r="D1016" s="16">
        <v>0.90537333787930496</v>
      </c>
      <c r="E1016" s="16">
        <v>0.90537333787930496</v>
      </c>
      <c r="F1016" s="16" t="s">
        <v>19</v>
      </c>
      <c r="G1016" s="16">
        <v>0.77760126068346702</v>
      </c>
      <c r="H1016" s="16">
        <v>0.76345242571464</v>
      </c>
    </row>
    <row r="1017" spans="3:8">
      <c r="C1017" s="31">
        <v>44435</v>
      </c>
      <c r="D1017" s="16">
        <v>0.90537333787930496</v>
      </c>
      <c r="E1017" s="16">
        <v>0.90537333787930496</v>
      </c>
      <c r="F1017" s="16" t="s">
        <v>19</v>
      </c>
      <c r="G1017" s="16">
        <v>0.77760126068346702</v>
      </c>
      <c r="H1017" s="16">
        <v>0.76345242571464</v>
      </c>
    </row>
    <row r="1018" spans="3:8">
      <c r="C1018" s="31">
        <v>44434</v>
      </c>
      <c r="D1018" s="16">
        <v>0.90537333787930496</v>
      </c>
      <c r="E1018" s="16">
        <v>0.90537333787930496</v>
      </c>
      <c r="F1018" s="16" t="s">
        <v>19</v>
      </c>
      <c r="G1018" s="16">
        <v>0.77760126068346702</v>
      </c>
      <c r="H1018" s="16">
        <v>0.76345242571464</v>
      </c>
    </row>
    <row r="1019" spans="3:8">
      <c r="C1019" s="31">
        <v>44433</v>
      </c>
      <c r="D1019" s="16">
        <v>0.90537333787930496</v>
      </c>
      <c r="E1019" s="16">
        <v>0.90537333787930496</v>
      </c>
      <c r="F1019" s="16" t="s">
        <v>19</v>
      </c>
      <c r="G1019" s="16">
        <v>0.77760126068346702</v>
      </c>
      <c r="H1019" s="16">
        <v>0.76345242571464</v>
      </c>
    </row>
    <row r="1020" spans="3:8">
      <c r="C1020" s="31">
        <v>44432</v>
      </c>
      <c r="D1020" s="16">
        <v>0.90537333787930496</v>
      </c>
      <c r="E1020" s="16">
        <v>0.90537333787930496</v>
      </c>
      <c r="F1020" s="16" t="s">
        <v>19</v>
      </c>
      <c r="G1020" s="16">
        <v>0.77760126068346702</v>
      </c>
      <c r="H1020" s="16">
        <v>0.76345242571464</v>
      </c>
    </row>
    <row r="1021" spans="3:8">
      <c r="C1021" s="31">
        <v>44431</v>
      </c>
      <c r="D1021" s="16">
        <v>0.90537333787930496</v>
      </c>
      <c r="E1021" s="16">
        <v>0.90537333787930496</v>
      </c>
      <c r="F1021" s="16" t="s">
        <v>19</v>
      </c>
      <c r="G1021" s="16">
        <v>0.77760126068346702</v>
      </c>
      <c r="H1021" s="16">
        <v>0.76345242571464</v>
      </c>
    </row>
    <row r="1022" spans="3:8">
      <c r="C1022" s="31">
        <v>44428</v>
      </c>
      <c r="D1022" s="16">
        <v>0.90537333787930496</v>
      </c>
      <c r="E1022" s="16">
        <v>0.90537333787930496</v>
      </c>
      <c r="F1022" s="16" t="s">
        <v>19</v>
      </c>
      <c r="G1022" s="16">
        <v>0.77760126068346702</v>
      </c>
      <c r="H1022" s="16">
        <v>0.76345242571464</v>
      </c>
    </row>
    <row r="1023" spans="3:8">
      <c r="C1023" s="31">
        <v>44427</v>
      </c>
      <c r="D1023" s="16">
        <v>0.90537333787930496</v>
      </c>
      <c r="E1023" s="16">
        <v>0.90537333787930496</v>
      </c>
      <c r="F1023" s="16">
        <v>15</v>
      </c>
      <c r="G1023" s="16">
        <v>0.77760126068346702</v>
      </c>
      <c r="H1023" s="16">
        <v>0.76345242571464</v>
      </c>
    </row>
    <row r="1024" spans="3:8">
      <c r="C1024" s="31">
        <v>44426</v>
      </c>
      <c r="D1024" s="16">
        <v>0.77350862246934304</v>
      </c>
      <c r="E1024" s="16">
        <v>0.77350862246934304</v>
      </c>
      <c r="F1024" s="16" t="s">
        <v>19</v>
      </c>
      <c r="G1024" s="16">
        <v>0.77760126068346702</v>
      </c>
      <c r="H1024" s="16">
        <v>0.76345242571464</v>
      </c>
    </row>
    <row r="1025" spans="3:8">
      <c r="C1025" s="31">
        <v>44425</v>
      </c>
      <c r="D1025" s="16">
        <v>0.77350862246934304</v>
      </c>
      <c r="E1025" s="16">
        <v>0.77350862246934304</v>
      </c>
      <c r="F1025" s="16" t="s">
        <v>19</v>
      </c>
      <c r="G1025" s="16">
        <v>0.77760126068346702</v>
      </c>
      <c r="H1025" s="16">
        <v>0.76345242571464</v>
      </c>
    </row>
    <row r="1026" spans="3:8">
      <c r="C1026" s="31">
        <v>44424</v>
      </c>
      <c r="D1026" s="16">
        <v>0.77350862246934304</v>
      </c>
      <c r="E1026" s="16">
        <v>0.77350862246934304</v>
      </c>
      <c r="F1026" s="16" t="s">
        <v>19</v>
      </c>
      <c r="G1026" s="16">
        <v>0.77760126068346702</v>
      </c>
      <c r="H1026" s="16">
        <v>0.76345242571464</v>
      </c>
    </row>
    <row r="1027" spans="3:8">
      <c r="C1027" s="31">
        <v>44421</v>
      </c>
      <c r="D1027" s="16">
        <v>0.77350862246934304</v>
      </c>
      <c r="E1027" s="16">
        <v>0.77350862246934304</v>
      </c>
      <c r="F1027" s="16" t="s">
        <v>19</v>
      </c>
      <c r="G1027" s="16">
        <v>0.77760126068346702</v>
      </c>
      <c r="H1027" s="16">
        <v>0.76345242571464</v>
      </c>
    </row>
    <row r="1028" spans="3:8">
      <c r="C1028" s="31">
        <v>44420</v>
      </c>
      <c r="D1028" s="16">
        <v>0.77350862246934304</v>
      </c>
      <c r="E1028" s="16">
        <v>0.77350862246934304</v>
      </c>
      <c r="F1028" s="16" t="s">
        <v>19</v>
      </c>
      <c r="G1028" s="16">
        <v>0.77760126068346702</v>
      </c>
      <c r="H1028" s="16">
        <v>0.76345242571464</v>
      </c>
    </row>
    <row r="1029" spans="3:8">
      <c r="C1029" s="31">
        <v>44419</v>
      </c>
      <c r="D1029" s="16">
        <v>0.77350862246934304</v>
      </c>
      <c r="E1029" s="16">
        <v>0.77350862246934304</v>
      </c>
      <c r="F1029" s="16" t="s">
        <v>19</v>
      </c>
      <c r="G1029" s="16">
        <v>0.77760126068346702</v>
      </c>
      <c r="H1029" s="16">
        <v>0.76345242571464</v>
      </c>
    </row>
    <row r="1030" spans="3:8">
      <c r="C1030" s="31">
        <v>44418</v>
      </c>
      <c r="D1030" s="16">
        <v>0.77350862246934304</v>
      </c>
      <c r="E1030" s="16">
        <v>0.77350862246934304</v>
      </c>
      <c r="F1030" s="16" t="s">
        <v>19</v>
      </c>
      <c r="G1030" s="16">
        <v>0.77760126068346702</v>
      </c>
      <c r="H1030" s="16">
        <v>0.76345242571464</v>
      </c>
    </row>
    <row r="1031" spans="3:8">
      <c r="C1031" s="31">
        <v>44417</v>
      </c>
      <c r="D1031" s="16">
        <v>0.77350862246934304</v>
      </c>
      <c r="E1031" s="16">
        <v>0.77350862246934304</v>
      </c>
      <c r="F1031" s="16" t="s">
        <v>19</v>
      </c>
      <c r="G1031" s="16">
        <v>0.77760126068346702</v>
      </c>
      <c r="H1031" s="16">
        <v>0.76345242571464</v>
      </c>
    </row>
    <row r="1032" spans="3:8">
      <c r="C1032" s="31">
        <v>44414</v>
      </c>
      <c r="D1032" s="16">
        <v>0.77350862246934304</v>
      </c>
      <c r="E1032" s="16">
        <v>0.77350862246934304</v>
      </c>
      <c r="F1032" s="16" t="s">
        <v>19</v>
      </c>
      <c r="G1032" s="16">
        <v>0.77760126068346702</v>
      </c>
      <c r="H1032" s="16">
        <v>0.76345242571464</v>
      </c>
    </row>
    <row r="1033" spans="3:8">
      <c r="C1033" s="31">
        <v>44413</v>
      </c>
      <c r="D1033" s="16">
        <v>0.77350862246934304</v>
      </c>
      <c r="E1033" s="16">
        <v>0.77350862246934304</v>
      </c>
      <c r="F1033" s="16" t="s">
        <v>19</v>
      </c>
      <c r="G1033" s="16">
        <v>0.77760126068346702</v>
      </c>
      <c r="H1033" s="16">
        <v>0.76345242571464</v>
      </c>
    </row>
    <row r="1034" spans="3:8">
      <c r="C1034" s="31">
        <v>44412</v>
      </c>
      <c r="D1034" s="16">
        <v>0.77350862246934304</v>
      </c>
      <c r="E1034" s="16">
        <v>0.77350862246934304</v>
      </c>
      <c r="F1034" s="16" t="s">
        <v>19</v>
      </c>
      <c r="G1034" s="16">
        <v>0.77760126068346702</v>
      </c>
      <c r="H1034" s="16">
        <v>0.76345242571464</v>
      </c>
    </row>
    <row r="1035" spans="3:8">
      <c r="C1035" s="31">
        <v>44411</v>
      </c>
      <c r="D1035" s="16">
        <v>0.77350862246934304</v>
      </c>
      <c r="E1035" s="16">
        <v>0.77350862246934304</v>
      </c>
      <c r="F1035" s="16" t="s">
        <v>19</v>
      </c>
      <c r="G1035" s="16">
        <v>0.77760126068346702</v>
      </c>
      <c r="H1035" s="16">
        <v>0.76345242571464</v>
      </c>
    </row>
    <row r="1036" spans="3:8">
      <c r="C1036" s="31">
        <v>44410</v>
      </c>
      <c r="D1036" s="16">
        <v>0.77350862246934304</v>
      </c>
      <c r="E1036" s="16">
        <v>0.77350862246934304</v>
      </c>
      <c r="F1036" s="16" t="s">
        <v>19</v>
      </c>
      <c r="G1036" s="16">
        <v>0.77760126068346702</v>
      </c>
      <c r="H1036" s="16">
        <v>0.76345242571464</v>
      </c>
    </row>
    <row r="1037" spans="3:8">
      <c r="C1037" s="31">
        <v>44407</v>
      </c>
      <c r="D1037" s="16">
        <v>0.77350862246934304</v>
      </c>
      <c r="E1037" s="16">
        <v>0.77350862246934304</v>
      </c>
      <c r="F1037" s="16" t="s">
        <v>19</v>
      </c>
      <c r="G1037" s="16">
        <v>0.77760126068346702</v>
      </c>
      <c r="H1037" s="16">
        <v>0.76345242571464</v>
      </c>
    </row>
    <row r="1038" spans="3:8">
      <c r="C1038" s="31">
        <v>44406</v>
      </c>
      <c r="D1038" s="16">
        <v>0.77350862246934304</v>
      </c>
      <c r="E1038" s="16">
        <v>0.77350862246934304</v>
      </c>
      <c r="F1038" s="16" t="s">
        <v>19</v>
      </c>
      <c r="G1038" s="16">
        <v>0.77760126068346702</v>
      </c>
      <c r="H1038" s="16">
        <v>0.76345242571464</v>
      </c>
    </row>
    <row r="1039" spans="3:8">
      <c r="C1039" s="31">
        <v>44405</v>
      </c>
      <c r="D1039" s="16">
        <v>0.77350862246934304</v>
      </c>
      <c r="E1039" s="16">
        <v>0.77350862246934304</v>
      </c>
      <c r="F1039" s="16" t="s">
        <v>19</v>
      </c>
      <c r="G1039" s="16">
        <v>0.77760126068346702</v>
      </c>
      <c r="H1039" s="16">
        <v>0.76345242571464</v>
      </c>
    </row>
    <row r="1040" spans="3:8">
      <c r="C1040" s="31">
        <v>44404</v>
      </c>
      <c r="D1040" s="16">
        <v>0.77350862246934304</v>
      </c>
      <c r="E1040" s="16">
        <v>0.77350862246934304</v>
      </c>
      <c r="F1040" s="16" t="s">
        <v>19</v>
      </c>
      <c r="G1040" s="16">
        <v>0.77760126068346702</v>
      </c>
      <c r="H1040" s="16">
        <v>0.76345242571464</v>
      </c>
    </row>
    <row r="1041" spans="3:8">
      <c r="C1041" s="31">
        <v>44403</v>
      </c>
      <c r="D1041" s="16">
        <v>0.77350862246934304</v>
      </c>
      <c r="E1041" s="16">
        <v>0.77350862246934304</v>
      </c>
      <c r="F1041" s="16" t="s">
        <v>19</v>
      </c>
      <c r="G1041" s="16">
        <v>0.77760126068346702</v>
      </c>
      <c r="H1041" s="16">
        <v>0.76345242571464</v>
      </c>
    </row>
    <row r="1042" spans="3:8">
      <c r="C1042" s="31">
        <v>44400</v>
      </c>
      <c r="D1042" s="16">
        <v>0.77350862246934304</v>
      </c>
      <c r="E1042" s="16">
        <v>0.77350862246934304</v>
      </c>
      <c r="F1042" s="16" t="s">
        <v>19</v>
      </c>
      <c r="G1042" s="16">
        <v>0.77760126068346702</v>
      </c>
      <c r="H1042" s="16">
        <v>0.76345242571464</v>
      </c>
    </row>
    <row r="1043" spans="3:8">
      <c r="C1043" s="31">
        <v>44399</v>
      </c>
      <c r="D1043" s="16">
        <v>0.77350862246934304</v>
      </c>
      <c r="E1043" s="16">
        <v>0.77350862246934304</v>
      </c>
      <c r="F1043" s="16">
        <v>5</v>
      </c>
      <c r="G1043" s="16">
        <v>0.77760126068346702</v>
      </c>
      <c r="H1043" s="16">
        <v>0.76345242571464</v>
      </c>
    </row>
    <row r="1044" spans="3:8">
      <c r="C1044" s="31">
        <v>44398</v>
      </c>
      <c r="D1044" s="16">
        <v>0.79216795201371004</v>
      </c>
      <c r="E1044" s="16">
        <v>0.79216795201371004</v>
      </c>
      <c r="F1044" s="16" t="s">
        <v>19</v>
      </c>
      <c r="G1044" s="16">
        <v>0.78343080548414801</v>
      </c>
      <c r="H1044" s="16">
        <v>0.77527613538988904</v>
      </c>
    </row>
    <row r="1045" spans="3:8">
      <c r="C1045" s="31">
        <v>44397</v>
      </c>
      <c r="D1045" s="16">
        <v>0.79216795201371004</v>
      </c>
      <c r="E1045" s="16">
        <v>0.79216795201371004</v>
      </c>
      <c r="F1045" s="16" t="s">
        <v>19</v>
      </c>
      <c r="G1045" s="16">
        <v>0.78343080548414801</v>
      </c>
      <c r="H1045" s="16">
        <v>0.77527613538988904</v>
      </c>
    </row>
    <row r="1046" spans="3:8">
      <c r="C1046" s="31">
        <v>44396</v>
      </c>
      <c r="D1046" s="16">
        <v>0.79216795201371004</v>
      </c>
      <c r="E1046" s="16">
        <v>0.79216795201371004</v>
      </c>
      <c r="F1046" s="16" t="s">
        <v>19</v>
      </c>
      <c r="G1046" s="16">
        <v>0.78343080548414801</v>
      </c>
      <c r="H1046" s="16">
        <v>0.77527613538988904</v>
      </c>
    </row>
    <row r="1047" spans="3:8">
      <c r="C1047" s="31">
        <v>44393</v>
      </c>
      <c r="D1047" s="16">
        <v>0.79216795201371004</v>
      </c>
      <c r="E1047" s="16">
        <v>0.79216795201371004</v>
      </c>
      <c r="F1047" s="16" t="s">
        <v>19</v>
      </c>
      <c r="G1047" s="16">
        <v>0.78343080548414801</v>
      </c>
      <c r="H1047" s="16">
        <v>0.77527613538988904</v>
      </c>
    </row>
    <row r="1048" spans="3:8">
      <c r="C1048" s="31">
        <v>44392</v>
      </c>
      <c r="D1048" s="16">
        <v>0.79216795201371004</v>
      </c>
      <c r="E1048" s="16">
        <v>0.79216795201371004</v>
      </c>
      <c r="F1048" s="16" t="s">
        <v>19</v>
      </c>
      <c r="G1048" s="16">
        <v>0.78343080548414801</v>
      </c>
      <c r="H1048" s="16">
        <v>0.77527613538988904</v>
      </c>
    </row>
    <row r="1049" spans="3:8">
      <c r="C1049" s="31">
        <v>44391</v>
      </c>
      <c r="D1049" s="16">
        <v>0.79216795201371004</v>
      </c>
      <c r="E1049" s="16">
        <v>0.79216795201371004</v>
      </c>
      <c r="F1049" s="16" t="s">
        <v>19</v>
      </c>
      <c r="G1049" s="16">
        <v>0.78343080548414801</v>
      </c>
      <c r="H1049" s="16">
        <v>0.77527613538988904</v>
      </c>
    </row>
    <row r="1050" spans="3:8">
      <c r="C1050" s="31">
        <v>44390</v>
      </c>
      <c r="D1050" s="16">
        <v>0.79216795201371004</v>
      </c>
      <c r="E1050" s="16">
        <v>0.79216795201371004</v>
      </c>
      <c r="F1050" s="16" t="s">
        <v>19</v>
      </c>
      <c r="G1050" s="16">
        <v>0.78343080548414801</v>
      </c>
      <c r="H1050" s="16">
        <v>0.77527613538988904</v>
      </c>
    </row>
    <row r="1051" spans="3:8">
      <c r="C1051" s="31">
        <v>44389</v>
      </c>
      <c r="D1051" s="16">
        <v>0.79216795201371004</v>
      </c>
      <c r="E1051" s="16">
        <v>0.79216795201371004</v>
      </c>
      <c r="F1051" s="16" t="s">
        <v>19</v>
      </c>
      <c r="G1051" s="16">
        <v>0.78343080548414801</v>
      </c>
      <c r="H1051" s="16">
        <v>0.77527613538988904</v>
      </c>
    </row>
    <row r="1052" spans="3:8">
      <c r="C1052" s="31">
        <v>44386</v>
      </c>
      <c r="D1052" s="16">
        <v>0.79216795201371004</v>
      </c>
      <c r="E1052" s="16">
        <v>0.79216795201371004</v>
      </c>
      <c r="F1052" s="16" t="s">
        <v>19</v>
      </c>
      <c r="G1052" s="16">
        <v>0.78343080548414801</v>
      </c>
      <c r="H1052" s="16">
        <v>0.77527613538988904</v>
      </c>
    </row>
    <row r="1053" spans="3:8">
      <c r="C1053" s="31">
        <v>44385</v>
      </c>
      <c r="D1053" s="16">
        <v>0.79216795201371004</v>
      </c>
      <c r="E1053" s="16">
        <v>0.79216795201371004</v>
      </c>
      <c r="F1053" s="16" t="s">
        <v>19</v>
      </c>
      <c r="G1053" s="16">
        <v>0.78343080548414801</v>
      </c>
      <c r="H1053" s="16">
        <v>0.77527613538988904</v>
      </c>
    </row>
    <row r="1054" spans="3:8">
      <c r="C1054" s="31">
        <v>44384</v>
      </c>
      <c r="D1054" s="16">
        <v>0.79216795201371004</v>
      </c>
      <c r="E1054" s="16">
        <v>0.79216795201371004</v>
      </c>
      <c r="F1054" s="16" t="s">
        <v>19</v>
      </c>
      <c r="G1054" s="16">
        <v>0.78343080548414801</v>
      </c>
      <c r="H1054" s="16">
        <v>0.77527613538988904</v>
      </c>
    </row>
    <row r="1055" spans="3:8">
      <c r="C1055" s="31">
        <v>44383</v>
      </c>
      <c r="D1055" s="16">
        <v>0.79216795201371004</v>
      </c>
      <c r="E1055" s="16">
        <v>0.79216795201371004</v>
      </c>
      <c r="F1055" s="16" t="s">
        <v>19</v>
      </c>
      <c r="G1055" s="16">
        <v>0.78343080548414801</v>
      </c>
      <c r="H1055" s="16">
        <v>0.77527613538988904</v>
      </c>
    </row>
    <row r="1056" spans="3:8">
      <c r="C1056" s="31">
        <v>44382</v>
      </c>
      <c r="D1056" s="16">
        <v>0.79216795201371004</v>
      </c>
      <c r="E1056" s="16">
        <v>0.79216795201371004</v>
      </c>
      <c r="F1056" s="16" t="s">
        <v>19</v>
      </c>
      <c r="G1056" s="16">
        <v>0.78343080548414801</v>
      </c>
      <c r="H1056" s="16">
        <v>0.77527613538988904</v>
      </c>
    </row>
    <row r="1057" spans="3:8">
      <c r="C1057" s="31">
        <v>44379</v>
      </c>
      <c r="D1057" s="16">
        <v>0.79216795201371004</v>
      </c>
      <c r="E1057" s="16">
        <v>0.79216795201371004</v>
      </c>
      <c r="F1057" s="16">
        <v>20</v>
      </c>
      <c r="G1057" s="16">
        <v>0.78343080548414801</v>
      </c>
      <c r="H1057" s="16">
        <v>0.77527613538988904</v>
      </c>
    </row>
    <row r="1058" spans="3:8">
      <c r="C1058" s="31">
        <v>44378</v>
      </c>
      <c r="D1058" s="16">
        <v>0.72211855378746803</v>
      </c>
      <c r="E1058" s="16">
        <v>0.72223525038633396</v>
      </c>
      <c r="F1058" s="16" t="s">
        <v>19</v>
      </c>
      <c r="G1058" s="16">
        <v>0.73927295382087999</v>
      </c>
      <c r="H1058" s="16">
        <v>0.72643632794553703</v>
      </c>
    </row>
    <row r="1059" spans="3:8">
      <c r="C1059" s="31">
        <v>44377</v>
      </c>
      <c r="D1059" s="16">
        <v>0.72211855378746803</v>
      </c>
      <c r="E1059" s="16">
        <v>0.72223525038633396</v>
      </c>
      <c r="F1059" s="16" t="s">
        <v>19</v>
      </c>
      <c r="G1059" s="16">
        <v>0.73927295382087999</v>
      </c>
      <c r="H1059" s="16">
        <v>0.72643632794553703</v>
      </c>
    </row>
    <row r="1060" spans="3:8">
      <c r="C1060" s="31">
        <v>44376</v>
      </c>
      <c r="D1060" s="16">
        <v>0.72211855378746803</v>
      </c>
      <c r="E1060" s="16">
        <v>0.72223525038633396</v>
      </c>
      <c r="F1060" s="16" t="s">
        <v>19</v>
      </c>
      <c r="G1060" s="16">
        <v>0.73927295382087999</v>
      </c>
      <c r="H1060" s="16">
        <v>0.72643632794553703</v>
      </c>
    </row>
    <row r="1061" spans="3:8">
      <c r="C1061" s="31">
        <v>44375</v>
      </c>
      <c r="D1061" s="16">
        <v>0.72211855378746803</v>
      </c>
      <c r="E1061" s="16">
        <v>0.72223525038633396</v>
      </c>
      <c r="F1061" s="16" t="s">
        <v>19</v>
      </c>
      <c r="G1061" s="16">
        <v>0.73927295382087999</v>
      </c>
      <c r="H1061" s="16">
        <v>0.72643632794553703</v>
      </c>
    </row>
    <row r="1062" spans="3:8">
      <c r="C1062" s="31">
        <v>44372</v>
      </c>
      <c r="D1062" s="16">
        <v>0.72211855378746803</v>
      </c>
      <c r="E1062" s="16">
        <v>0.72223525038633396</v>
      </c>
      <c r="F1062" s="16" t="s">
        <v>19</v>
      </c>
      <c r="G1062" s="16">
        <v>0.73927295382087999</v>
      </c>
      <c r="H1062" s="16">
        <v>0.72643632794553703</v>
      </c>
    </row>
    <row r="1063" spans="3:8">
      <c r="C1063" s="31">
        <v>44371</v>
      </c>
      <c r="D1063" s="16">
        <v>0.72211855378746803</v>
      </c>
      <c r="E1063" s="16">
        <v>0.72223525038633396</v>
      </c>
      <c r="F1063" s="16">
        <v>20</v>
      </c>
      <c r="G1063" s="16">
        <v>0.73927295382087999</v>
      </c>
      <c r="H1063" s="16">
        <v>0.72643632794553703</v>
      </c>
    </row>
    <row r="1064" spans="3:8">
      <c r="C1064" s="31">
        <v>44370</v>
      </c>
      <c r="D1064" s="16">
        <v>0.62433548734141797</v>
      </c>
      <c r="E1064" s="16">
        <v>0.62433548734141797</v>
      </c>
      <c r="F1064" s="16" t="s">
        <v>19</v>
      </c>
      <c r="G1064" s="16">
        <v>0.65133067400659495</v>
      </c>
      <c r="H1064" s="16">
        <v>0.62950477840496299</v>
      </c>
    </row>
    <row r="1065" spans="3:8">
      <c r="C1065" s="31">
        <v>44369</v>
      </c>
      <c r="D1065" s="16">
        <v>0.62433548734141797</v>
      </c>
      <c r="E1065" s="16">
        <v>0.62433548734141797</v>
      </c>
      <c r="F1065" s="16" t="s">
        <v>19</v>
      </c>
      <c r="G1065" s="16">
        <v>0.65133067400659495</v>
      </c>
      <c r="H1065" s="16">
        <v>0.62950477840496299</v>
      </c>
    </row>
    <row r="1066" spans="3:8">
      <c r="C1066" s="31">
        <v>44368</v>
      </c>
      <c r="D1066" s="16">
        <v>0.62433548734141797</v>
      </c>
      <c r="E1066" s="16">
        <v>0.62433548734141797</v>
      </c>
      <c r="F1066" s="16" t="s">
        <v>19</v>
      </c>
      <c r="G1066" s="16">
        <v>0.65133067400659495</v>
      </c>
      <c r="H1066" s="16">
        <v>0.62950477840496299</v>
      </c>
    </row>
    <row r="1067" spans="3:8">
      <c r="C1067" s="31">
        <v>44365</v>
      </c>
      <c r="D1067" s="16">
        <v>0.62433548734141797</v>
      </c>
      <c r="E1067" s="16">
        <v>0.62433548734141797</v>
      </c>
      <c r="F1067" s="16" t="s">
        <v>19</v>
      </c>
      <c r="G1067" s="16">
        <v>0.65133067400659495</v>
      </c>
      <c r="H1067" s="16">
        <v>0.62950477840496299</v>
      </c>
    </row>
    <row r="1068" spans="3:8">
      <c r="C1068" s="31">
        <v>44364</v>
      </c>
      <c r="D1068" s="16">
        <v>0.62433548734141797</v>
      </c>
      <c r="E1068" s="16">
        <v>0.62433548734141797</v>
      </c>
      <c r="F1068" s="16" t="s">
        <v>19</v>
      </c>
      <c r="G1068" s="16">
        <v>0.65133067400659495</v>
      </c>
      <c r="H1068" s="16">
        <v>0.62950477840496299</v>
      </c>
    </row>
    <row r="1069" spans="3:8">
      <c r="C1069" s="31">
        <v>44363</v>
      </c>
      <c r="D1069" s="16">
        <v>0.62433548734141797</v>
      </c>
      <c r="E1069" s="16">
        <v>0.62433548734141797</v>
      </c>
      <c r="F1069" s="16" t="s">
        <v>19</v>
      </c>
      <c r="G1069" s="16">
        <v>0.65133067400659495</v>
      </c>
      <c r="H1069" s="16">
        <v>0.62950477840496299</v>
      </c>
    </row>
    <row r="1070" spans="3:8">
      <c r="C1070" s="31">
        <v>44362</v>
      </c>
      <c r="D1070" s="16">
        <v>0.62433548734141797</v>
      </c>
      <c r="E1070" s="16">
        <v>0.62433548734141797</v>
      </c>
      <c r="F1070" s="16" t="s">
        <v>19</v>
      </c>
      <c r="G1070" s="16">
        <v>0.65133067400659495</v>
      </c>
      <c r="H1070" s="16">
        <v>0.62950477840496299</v>
      </c>
    </row>
    <row r="1071" spans="3:8">
      <c r="C1071" s="31">
        <v>44361</v>
      </c>
      <c r="D1071" s="16">
        <v>0.62433548734141797</v>
      </c>
      <c r="E1071" s="16">
        <v>0.62433548734141797</v>
      </c>
      <c r="F1071" s="16" t="s">
        <v>19</v>
      </c>
      <c r="G1071" s="16">
        <v>0.65133067400659495</v>
      </c>
      <c r="H1071" s="16">
        <v>0.62950477840496299</v>
      </c>
    </row>
    <row r="1072" spans="3:8">
      <c r="C1072" s="31">
        <v>44358</v>
      </c>
      <c r="D1072" s="16">
        <v>0.62433548734141797</v>
      </c>
      <c r="E1072" s="16">
        <v>0.62433548734141797</v>
      </c>
      <c r="F1072" s="16" t="s">
        <v>19</v>
      </c>
      <c r="G1072" s="16">
        <v>0.65133067400659495</v>
      </c>
      <c r="H1072" s="16">
        <v>0.62950477840496299</v>
      </c>
    </row>
    <row r="1073" spans="3:8">
      <c r="C1073" s="31">
        <v>44357</v>
      </c>
      <c r="D1073" s="16">
        <v>0.62433548734141797</v>
      </c>
      <c r="E1073" s="16">
        <v>0.62433548734141797</v>
      </c>
      <c r="F1073" s="16" t="s">
        <v>19</v>
      </c>
      <c r="G1073" s="16">
        <v>0.65133067400659495</v>
      </c>
      <c r="H1073" s="16">
        <v>0.62950477840496299</v>
      </c>
    </row>
    <row r="1074" spans="3:8">
      <c r="C1074" s="31">
        <v>44356</v>
      </c>
      <c r="D1074" s="16">
        <v>0.62433548734141797</v>
      </c>
      <c r="E1074" s="16">
        <v>0.62433548734141797</v>
      </c>
      <c r="F1074" s="16" t="s">
        <v>19</v>
      </c>
      <c r="G1074" s="16">
        <v>0.65133067400659495</v>
      </c>
      <c r="H1074" s="16">
        <v>0.62950477840496299</v>
      </c>
    </row>
    <row r="1075" spans="3:8">
      <c r="C1075" s="31">
        <v>44355</v>
      </c>
      <c r="D1075" s="16">
        <v>0.62433548734141797</v>
      </c>
      <c r="E1075" s="16">
        <v>0.62433548734141797</v>
      </c>
      <c r="F1075" s="16" t="s">
        <v>19</v>
      </c>
      <c r="G1075" s="16">
        <v>0.65133067400659495</v>
      </c>
      <c r="H1075" s="16">
        <v>0.62950477840496299</v>
      </c>
    </row>
    <row r="1076" spans="3:8">
      <c r="C1076" s="31">
        <v>44354</v>
      </c>
      <c r="D1076" s="16">
        <v>0.62433548734141797</v>
      </c>
      <c r="E1076" s="16">
        <v>0.62433548734141797</v>
      </c>
      <c r="F1076" s="16" t="s">
        <v>19</v>
      </c>
      <c r="G1076" s="16">
        <v>0.65133067400659495</v>
      </c>
      <c r="H1076" s="16">
        <v>0.62950477840496299</v>
      </c>
    </row>
    <row r="1077" spans="3:8">
      <c r="C1077" s="31">
        <v>44351</v>
      </c>
      <c r="D1077" s="16">
        <v>0.62433548734141797</v>
      </c>
      <c r="E1077" s="16">
        <v>0.62433548734141797</v>
      </c>
      <c r="F1077" s="16" t="s">
        <v>19</v>
      </c>
      <c r="G1077" s="16">
        <v>0.65133067400659495</v>
      </c>
      <c r="H1077" s="16">
        <v>0.62950477840496299</v>
      </c>
    </row>
    <row r="1078" spans="3:8">
      <c r="C1078" s="31">
        <v>44350</v>
      </c>
      <c r="D1078" s="16">
        <v>0.62433548734141797</v>
      </c>
      <c r="E1078" s="16">
        <v>0.62433548734141797</v>
      </c>
      <c r="F1078" s="16" t="s">
        <v>19</v>
      </c>
      <c r="G1078" s="16">
        <v>0.65133067400659495</v>
      </c>
      <c r="H1078" s="16">
        <v>0.62950477840496299</v>
      </c>
    </row>
    <row r="1079" spans="3:8">
      <c r="C1079" s="31">
        <v>44349</v>
      </c>
      <c r="D1079" s="16">
        <v>0.62433548734141797</v>
      </c>
      <c r="E1079" s="16">
        <v>0.62433548734141797</v>
      </c>
      <c r="F1079" s="16" t="s">
        <v>19</v>
      </c>
      <c r="G1079" s="16">
        <v>0.65133067400659495</v>
      </c>
      <c r="H1079" s="16">
        <v>0.62950477840496299</v>
      </c>
    </row>
    <row r="1080" spans="3:8">
      <c r="C1080" s="31">
        <v>44348</v>
      </c>
      <c r="D1080" s="16">
        <v>0.62433548734141797</v>
      </c>
      <c r="E1080" s="16">
        <v>0.62433548734141797</v>
      </c>
      <c r="F1080" s="16" t="s">
        <v>19</v>
      </c>
      <c r="G1080" s="16">
        <v>0.65133067400659495</v>
      </c>
      <c r="H1080" s="16">
        <v>0.62950477840496299</v>
      </c>
    </row>
    <row r="1081" spans="3:8">
      <c r="C1081" s="31">
        <v>44347</v>
      </c>
      <c r="D1081" s="16">
        <v>0.62433548734141797</v>
      </c>
      <c r="E1081" s="16">
        <v>0.62433548734141797</v>
      </c>
      <c r="F1081" s="16" t="s">
        <v>19</v>
      </c>
      <c r="G1081" s="16">
        <v>0.65133067400659495</v>
      </c>
      <c r="H1081" s="16">
        <v>0.62950477840496299</v>
      </c>
    </row>
    <row r="1082" spans="3:8">
      <c r="C1082" s="31">
        <v>44344</v>
      </c>
      <c r="D1082" s="16">
        <v>0.62433548734141797</v>
      </c>
      <c r="E1082" s="16">
        <v>0.62433548734141797</v>
      </c>
      <c r="F1082" s="16" t="s">
        <v>19</v>
      </c>
      <c r="G1082" s="16">
        <v>0.65133067400659495</v>
      </c>
      <c r="H1082" s="16">
        <v>0.62950477840496299</v>
      </c>
    </row>
    <row r="1083" spans="3:8">
      <c r="C1083" s="31">
        <v>44343</v>
      </c>
      <c r="D1083" s="16">
        <v>0.62433548734141797</v>
      </c>
      <c r="E1083" s="16">
        <v>0.62433548734141797</v>
      </c>
      <c r="F1083" s="16" t="s">
        <v>19</v>
      </c>
      <c r="G1083" s="16">
        <v>0.65133067400659495</v>
      </c>
      <c r="H1083" s="16">
        <v>0.62950477840496299</v>
      </c>
    </row>
    <row r="1084" spans="3:8">
      <c r="C1084" s="31">
        <v>44342</v>
      </c>
      <c r="D1084" s="16">
        <v>0.62433548734141797</v>
      </c>
      <c r="E1084" s="16">
        <v>0.62433548734141797</v>
      </c>
      <c r="F1084" s="16" t="s">
        <v>19</v>
      </c>
      <c r="G1084" s="16">
        <v>0.65133067400659495</v>
      </c>
      <c r="H1084" s="16">
        <v>0.62950477840496299</v>
      </c>
    </row>
    <row r="1085" spans="3:8">
      <c r="C1085" s="31">
        <v>44341</v>
      </c>
      <c r="D1085" s="16">
        <v>0.62433548734141797</v>
      </c>
      <c r="E1085" s="16">
        <v>0.62433548734141797</v>
      </c>
      <c r="F1085" s="16" t="s">
        <v>19</v>
      </c>
      <c r="G1085" s="16">
        <v>0.65133067400659495</v>
      </c>
      <c r="H1085" s="16">
        <v>0.62950477840496299</v>
      </c>
    </row>
    <row r="1086" spans="3:8">
      <c r="C1086" s="31">
        <v>44340</v>
      </c>
      <c r="D1086" s="16">
        <v>0.62433548734141797</v>
      </c>
      <c r="E1086" s="16">
        <v>0.62433548734141797</v>
      </c>
      <c r="F1086" s="16" t="s">
        <v>19</v>
      </c>
      <c r="G1086" s="16">
        <v>0.65133067400659495</v>
      </c>
      <c r="H1086" s="16">
        <v>0.62950477840496299</v>
      </c>
    </row>
    <row r="1087" spans="3:8">
      <c r="C1087" s="31">
        <v>44337</v>
      </c>
      <c r="D1087" s="16">
        <v>0.62433548734141797</v>
      </c>
      <c r="E1087" s="16">
        <v>0.62433548734141797</v>
      </c>
      <c r="F1087" s="16" t="s">
        <v>19</v>
      </c>
      <c r="G1087" s="16">
        <v>0.65133067400659495</v>
      </c>
      <c r="H1087" s="16">
        <v>0.62950477840496299</v>
      </c>
    </row>
    <row r="1088" spans="3:8">
      <c r="C1088" s="31">
        <v>44336</v>
      </c>
      <c r="D1088" s="16">
        <v>0.62433548734141797</v>
      </c>
      <c r="E1088" s="16">
        <v>0.62433548734141797</v>
      </c>
      <c r="F1088" s="16" t="s">
        <v>19</v>
      </c>
      <c r="G1088" s="16">
        <v>0.65133067400659495</v>
      </c>
      <c r="H1088" s="16">
        <v>0.62950477840496299</v>
      </c>
    </row>
    <row r="1089" spans="3:3">
      <c r="C1089" s="31"/>
    </row>
    <row r="1090" spans="3:3">
      <c r="C1090" s="31"/>
    </row>
    <row r="1091" spans="3:3">
      <c r="C1091" s="31"/>
    </row>
    <row r="1092" spans="3:3">
      <c r="C1092" s="31"/>
    </row>
    <row r="1093" spans="3:3">
      <c r="C1093" s="31"/>
    </row>
    <row r="1094" spans="3:3">
      <c r="C1094" s="31"/>
    </row>
    <row r="1095" spans="3:3">
      <c r="C1095" s="31"/>
    </row>
    <row r="1096" spans="3:3">
      <c r="C1096" s="31"/>
    </row>
    <row r="1097" spans="3:3">
      <c r="C1097" s="31"/>
    </row>
    <row r="1098" spans="3:3">
      <c r="C1098" s="31"/>
    </row>
    <row r="1099" spans="3:3">
      <c r="C1099" s="31"/>
    </row>
    <row r="1100" spans="3:3">
      <c r="C1100" s="31"/>
    </row>
    <row r="1101" spans="3:3">
      <c r="C1101" s="31"/>
    </row>
    <row r="1102" spans="3:3">
      <c r="C1102" s="31"/>
    </row>
    <row r="1103" spans="3:3">
      <c r="C1103" s="31"/>
    </row>
    <row r="1104" spans="3:3">
      <c r="C1104" s="31"/>
    </row>
    <row r="1105" spans="3:3">
      <c r="C1105" s="31"/>
    </row>
    <row r="1106" spans="3:3">
      <c r="C1106" s="31"/>
    </row>
    <row r="1107" spans="3:3">
      <c r="C1107" s="31"/>
    </row>
    <row r="1108" spans="3:3">
      <c r="C1108" s="31"/>
    </row>
    <row r="1109" spans="3:3">
      <c r="C1109" s="31"/>
    </row>
    <row r="1110" spans="3:3">
      <c r="C1110" s="31"/>
    </row>
    <row r="1111" spans="3:3">
      <c r="C1111" s="31"/>
    </row>
    <row r="1112" spans="3:3">
      <c r="C1112" s="31"/>
    </row>
    <row r="1113" spans="3:3">
      <c r="C1113" s="31"/>
    </row>
    <row r="1114" spans="3:3">
      <c r="C1114" s="31"/>
    </row>
    <row r="1115" spans="3:3">
      <c r="C1115" s="31"/>
    </row>
    <row r="1116" spans="3:3">
      <c r="C1116" s="31"/>
    </row>
    <row r="1117" spans="3:3">
      <c r="C1117" s="31"/>
    </row>
    <row r="1118" spans="3:3">
      <c r="C1118" s="31"/>
    </row>
    <row r="1119" spans="3:3">
      <c r="C1119" s="31"/>
    </row>
    <row r="1120" spans="3:3">
      <c r="C1120" s="31"/>
    </row>
    <row r="1121" spans="3:3">
      <c r="C1121" s="31"/>
    </row>
    <row r="1122" spans="3:3">
      <c r="C1122" s="31"/>
    </row>
    <row r="1123" spans="3:3">
      <c r="C1123" s="31"/>
    </row>
    <row r="1124" spans="3:3">
      <c r="C1124" s="31"/>
    </row>
    <row r="1125" spans="3:3">
      <c r="C1125" s="31"/>
    </row>
    <row r="1126" spans="3:3">
      <c r="C1126" s="31"/>
    </row>
    <row r="1127" spans="3:3">
      <c r="C1127" s="31"/>
    </row>
    <row r="1128" spans="3:3">
      <c r="C1128" s="31"/>
    </row>
    <row r="1129" spans="3:3">
      <c r="C1129" s="31"/>
    </row>
    <row r="1130" spans="3:3">
      <c r="C1130" s="31"/>
    </row>
    <row r="1131" spans="3:3">
      <c r="C1131" s="31"/>
    </row>
    <row r="1132" spans="3:3">
      <c r="C1132" s="31"/>
    </row>
    <row r="1133" spans="3:3">
      <c r="C1133" s="31"/>
    </row>
    <row r="1134" spans="3:3">
      <c r="C1134" s="31"/>
    </row>
    <row r="1135" spans="3:3">
      <c r="C1135" s="31"/>
    </row>
    <row r="1136" spans="3:3">
      <c r="C1136" s="31"/>
    </row>
    <row r="1137" spans="3:3">
      <c r="C1137" s="31"/>
    </row>
    <row r="1138" spans="3:3">
      <c r="C1138" s="31"/>
    </row>
    <row r="1139" spans="3:3">
      <c r="C1139" s="31"/>
    </row>
    <row r="1140" spans="3:3">
      <c r="C1140" s="31"/>
    </row>
    <row r="1141" spans="3:3">
      <c r="C1141" s="31"/>
    </row>
    <row r="1142" spans="3:3">
      <c r="C1142" s="31"/>
    </row>
    <row r="1143" spans="3:3">
      <c r="C1143" s="31"/>
    </row>
    <row r="1144" spans="3:3">
      <c r="C1144" s="31"/>
    </row>
    <row r="1145" spans="3:3">
      <c r="C1145" s="31"/>
    </row>
    <row r="1146" spans="3:3">
      <c r="C1146" s="31"/>
    </row>
    <row r="1147" spans="3:3">
      <c r="C1147" s="31"/>
    </row>
    <row r="1148" spans="3:3">
      <c r="C1148" s="31"/>
    </row>
    <row r="1149" spans="3:3">
      <c r="C1149" s="31"/>
    </row>
    <row r="1150" spans="3:3">
      <c r="C1150" s="31"/>
    </row>
    <row r="1151" spans="3:3">
      <c r="C1151" s="31"/>
    </row>
    <row r="1152" spans="3:3">
      <c r="C1152" s="31"/>
    </row>
    <row r="1153" spans="3:3">
      <c r="C1153" s="31"/>
    </row>
    <row r="1154" spans="3:3">
      <c r="C1154" s="31"/>
    </row>
    <row r="1155" spans="3:3">
      <c r="C1155" s="31"/>
    </row>
    <row r="1156" spans="3:3">
      <c r="C1156" s="31"/>
    </row>
    <row r="1157" spans="3:3">
      <c r="C1157" s="31"/>
    </row>
    <row r="1158" spans="3:3">
      <c r="C1158" s="31"/>
    </row>
    <row r="1159" spans="3:3">
      <c r="C1159" s="31"/>
    </row>
    <row r="1160" spans="3:3">
      <c r="C1160" s="31"/>
    </row>
    <row r="1161" spans="3:3">
      <c r="C1161" s="31"/>
    </row>
    <row r="1162" spans="3:3">
      <c r="C1162" s="31"/>
    </row>
    <row r="1163" spans="3:3">
      <c r="C1163" s="31"/>
    </row>
    <row r="1164" spans="3:3">
      <c r="C1164" s="31"/>
    </row>
    <row r="1165" spans="3:3">
      <c r="C1165" s="31"/>
    </row>
    <row r="1166" spans="3:3">
      <c r="C1166" s="31"/>
    </row>
    <row r="1167" spans="3:3">
      <c r="C1167" s="31"/>
    </row>
    <row r="1168" spans="3:3">
      <c r="C1168" s="31"/>
    </row>
    <row r="1169" spans="3:3">
      <c r="C1169" s="31"/>
    </row>
    <row r="1170" spans="3:3">
      <c r="C1170" s="31"/>
    </row>
    <row r="1171" spans="3:3">
      <c r="C1171" s="31"/>
    </row>
    <row r="1172" spans="3:3">
      <c r="C1172" s="31"/>
    </row>
    <row r="1173" spans="3:3">
      <c r="C1173" s="31"/>
    </row>
    <row r="1174" spans="3:3">
      <c r="C1174" s="31"/>
    </row>
    <row r="1175" spans="3:3">
      <c r="C1175" s="31"/>
    </row>
    <row r="1176" spans="3:3">
      <c r="C1176" s="31"/>
    </row>
    <row r="1177" spans="3:3">
      <c r="C1177" s="31"/>
    </row>
    <row r="1178" spans="3:3">
      <c r="C1178" s="31"/>
    </row>
    <row r="1179" spans="3:3">
      <c r="C1179" s="31"/>
    </row>
    <row r="1180" spans="3:3">
      <c r="C1180" s="31"/>
    </row>
    <row r="1181" spans="3:3">
      <c r="C1181" s="31"/>
    </row>
    <row r="1182" spans="3:3">
      <c r="C1182" s="31"/>
    </row>
    <row r="1183" spans="3:3">
      <c r="C1183" s="31"/>
    </row>
    <row r="1184" spans="3:3">
      <c r="C1184" s="31"/>
    </row>
    <row r="1185" spans="3:3">
      <c r="C1185" s="31"/>
    </row>
    <row r="1186" spans="3:3">
      <c r="C1186" s="31"/>
    </row>
    <row r="1187" spans="3:3">
      <c r="C1187" s="31"/>
    </row>
    <row r="1188" spans="3:3">
      <c r="C1188" s="31"/>
    </row>
    <row r="1189" spans="3:3">
      <c r="C1189" s="31"/>
    </row>
    <row r="1190" spans="3:3">
      <c r="C1190" s="31"/>
    </row>
    <row r="1191" spans="3:3">
      <c r="C1191" s="31"/>
    </row>
    <row r="1192" spans="3:3">
      <c r="C1192" s="31"/>
    </row>
    <row r="1193" spans="3:3">
      <c r="C1193" s="31"/>
    </row>
    <row r="1194" spans="3:3">
      <c r="C1194" s="31"/>
    </row>
    <row r="1195" spans="3:3">
      <c r="C1195" s="31"/>
    </row>
    <row r="1196" spans="3:3">
      <c r="C1196" s="31"/>
    </row>
    <row r="1197" spans="3:3">
      <c r="C1197" s="31"/>
    </row>
    <row r="1198" spans="3:3">
      <c r="C1198" s="31"/>
    </row>
    <row r="1199" spans="3:3">
      <c r="C1199" s="31"/>
    </row>
    <row r="1200" spans="3:3">
      <c r="C1200" s="31"/>
    </row>
    <row r="1201" spans="3:3">
      <c r="C1201" s="31"/>
    </row>
    <row r="1202" spans="3:3">
      <c r="C1202" s="31"/>
    </row>
    <row r="1203" spans="3:3">
      <c r="C1203" s="31"/>
    </row>
    <row r="1204" spans="3:3">
      <c r="C1204" s="31"/>
    </row>
    <row r="1205" spans="3:3">
      <c r="C1205" s="31"/>
    </row>
    <row r="1206" spans="3:3">
      <c r="C1206" s="31"/>
    </row>
    <row r="1207" spans="3:3">
      <c r="C1207" s="31"/>
    </row>
    <row r="1208" spans="3:3">
      <c r="C1208" s="31"/>
    </row>
    <row r="1209" spans="3:3">
      <c r="C1209" s="31"/>
    </row>
    <row r="1210" spans="3:3">
      <c r="C1210" s="31"/>
    </row>
    <row r="1211" spans="3:3">
      <c r="C1211" s="31"/>
    </row>
    <row r="1212" spans="3:3">
      <c r="C1212" s="31"/>
    </row>
    <row r="1213" spans="3:3">
      <c r="C1213" s="31"/>
    </row>
    <row r="1214" spans="3:3">
      <c r="C1214" s="31"/>
    </row>
    <row r="1215" spans="3:3">
      <c r="C1215" s="31"/>
    </row>
    <row r="1216" spans="3:3">
      <c r="C1216" s="31"/>
    </row>
    <row r="1217" spans="3:3">
      <c r="C1217" s="31"/>
    </row>
    <row r="1218" spans="3:3">
      <c r="C1218" s="31"/>
    </row>
    <row r="1219" spans="3:3">
      <c r="C1219" s="31"/>
    </row>
    <row r="1220" spans="3:3">
      <c r="C1220" s="31"/>
    </row>
    <row r="1221" spans="3:3">
      <c r="C1221" s="31"/>
    </row>
    <row r="1222" spans="3:3">
      <c r="C1222" s="31"/>
    </row>
    <row r="1223" spans="3:3">
      <c r="C1223" s="31"/>
    </row>
    <row r="1224" spans="3:3">
      <c r="C1224" s="31"/>
    </row>
    <row r="1225" spans="3:3">
      <c r="C1225" s="31"/>
    </row>
    <row r="1226" spans="3:3">
      <c r="C1226" s="31"/>
    </row>
    <row r="1227" spans="3:3">
      <c r="C1227" s="31"/>
    </row>
    <row r="1228" spans="3:3">
      <c r="C1228" s="31"/>
    </row>
    <row r="1229" spans="3:3">
      <c r="C1229" s="31"/>
    </row>
    <row r="1230" spans="3:3">
      <c r="C1230" s="31"/>
    </row>
    <row r="1231" spans="3:3">
      <c r="C1231" s="31"/>
    </row>
    <row r="1232" spans="3:3">
      <c r="C1232" s="31"/>
    </row>
    <row r="1233" spans="3:3">
      <c r="C1233" s="31"/>
    </row>
    <row r="1234" spans="3:3">
      <c r="C1234" s="31"/>
    </row>
    <row r="1235" spans="3:3">
      <c r="C1235" s="31"/>
    </row>
    <row r="1236" spans="3:3">
      <c r="C1236" s="31"/>
    </row>
    <row r="1237" spans="3:3">
      <c r="C1237" s="31"/>
    </row>
    <row r="1238" spans="3:3">
      <c r="C1238" s="31"/>
    </row>
    <row r="1239" spans="3:3">
      <c r="C1239" s="31"/>
    </row>
    <row r="1240" spans="3:3">
      <c r="C1240" s="31"/>
    </row>
    <row r="1241" spans="3:3">
      <c r="C1241" s="31"/>
    </row>
    <row r="1242" spans="3:3">
      <c r="C1242" s="31"/>
    </row>
    <row r="1243" spans="3:3">
      <c r="C1243" s="31"/>
    </row>
    <row r="1244" spans="3:3">
      <c r="C1244" s="31"/>
    </row>
    <row r="1245" spans="3:3">
      <c r="C1245" s="31"/>
    </row>
    <row r="1246" spans="3:3">
      <c r="C1246" s="31"/>
    </row>
    <row r="1247" spans="3:3">
      <c r="C1247" s="31"/>
    </row>
    <row r="1248" spans="3:3">
      <c r="C1248" s="31"/>
    </row>
    <row r="1249" spans="3:3">
      <c r="C1249" s="31"/>
    </row>
    <row r="1250" spans="3:3">
      <c r="C1250" s="31"/>
    </row>
    <row r="1251" spans="3:3">
      <c r="C1251" s="31"/>
    </row>
    <row r="1252" spans="3:3">
      <c r="C1252" s="31"/>
    </row>
    <row r="1253" spans="3:3">
      <c r="C1253" s="31"/>
    </row>
    <row r="1254" spans="3:3">
      <c r="C1254" s="31"/>
    </row>
    <row r="1255" spans="3:3">
      <c r="C1255" s="31"/>
    </row>
    <row r="1256" spans="3:3">
      <c r="C1256" s="31"/>
    </row>
    <row r="1257" spans="3:3">
      <c r="C1257" s="31"/>
    </row>
    <row r="1258" spans="3:3">
      <c r="C1258" s="31"/>
    </row>
    <row r="1259" spans="3:3">
      <c r="C1259" s="31"/>
    </row>
    <row r="1260" spans="3:3">
      <c r="C1260" s="31"/>
    </row>
    <row r="1261" spans="3:3">
      <c r="C1261" s="31"/>
    </row>
    <row r="1262" spans="3:3">
      <c r="C1262" s="31"/>
    </row>
    <row r="1263" spans="3:3">
      <c r="C1263" s="31"/>
    </row>
    <row r="1264" spans="3:3">
      <c r="C1264" s="31"/>
    </row>
    <row r="1265" spans="3:3">
      <c r="C1265" s="31"/>
    </row>
    <row r="1266" spans="3:3">
      <c r="C1266" s="31"/>
    </row>
    <row r="1267" spans="3:3">
      <c r="C1267" s="31"/>
    </row>
    <row r="1268" spans="3:3">
      <c r="C1268" s="31"/>
    </row>
    <row r="1269" spans="3:3">
      <c r="C1269" s="31"/>
    </row>
    <row r="1270" spans="3:3">
      <c r="C1270" s="31"/>
    </row>
    <row r="1271" spans="3:3">
      <c r="C1271" s="31"/>
    </row>
    <row r="1272" spans="3:3">
      <c r="C1272" s="31"/>
    </row>
    <row r="1273" spans="3:3">
      <c r="C1273" s="31"/>
    </row>
    <row r="1274" spans="3:3">
      <c r="C1274" s="31"/>
    </row>
    <row r="1275" spans="3:3">
      <c r="C1275" s="31"/>
    </row>
    <row r="1276" spans="3:3">
      <c r="C1276" s="31"/>
    </row>
    <row r="1277" spans="3:3">
      <c r="C1277" s="31"/>
    </row>
    <row r="1278" spans="3:3">
      <c r="C1278" s="31"/>
    </row>
    <row r="1279" spans="3:3">
      <c r="C1279" s="31"/>
    </row>
    <row r="1280" spans="3:3">
      <c r="C1280" s="31"/>
    </row>
    <row r="1281" spans="3:3">
      <c r="C1281" s="31"/>
    </row>
    <row r="1282" spans="3:3">
      <c r="C1282" s="31"/>
    </row>
    <row r="1283" spans="3:3">
      <c r="C1283" s="31"/>
    </row>
    <row r="1284" spans="3:3">
      <c r="C1284" s="31"/>
    </row>
    <row r="1285" spans="3:3">
      <c r="C1285" s="31"/>
    </row>
    <row r="1286" spans="3:3">
      <c r="C1286" s="31"/>
    </row>
    <row r="1287" spans="3:3">
      <c r="C1287" s="31"/>
    </row>
    <row r="1288" spans="3:3">
      <c r="C1288" s="31"/>
    </row>
    <row r="1289" spans="3:3">
      <c r="C1289" s="31"/>
    </row>
    <row r="1290" spans="3:3">
      <c r="C1290" s="31"/>
    </row>
    <row r="1291" spans="3:3">
      <c r="C1291" s="31"/>
    </row>
    <row r="1292" spans="3:3">
      <c r="C1292" s="31"/>
    </row>
    <row r="1293" spans="3:3">
      <c r="C1293" s="31"/>
    </row>
    <row r="1294" spans="3:3">
      <c r="C1294" s="31"/>
    </row>
    <row r="1295" spans="3:3">
      <c r="C1295" s="31"/>
    </row>
    <row r="1296" spans="3:3">
      <c r="C1296" s="31"/>
    </row>
    <row r="1297" spans="3:3">
      <c r="C1297" s="31"/>
    </row>
    <row r="1298" spans="3:3">
      <c r="C1298" s="31"/>
    </row>
    <row r="1299" spans="3:3">
      <c r="C1299" s="31"/>
    </row>
    <row r="1300" spans="3:3">
      <c r="C1300" s="31"/>
    </row>
    <row r="1301" spans="3:3">
      <c r="C1301" s="31"/>
    </row>
    <row r="1302" spans="3:3">
      <c r="C1302" s="31"/>
    </row>
    <row r="1303" spans="3:3">
      <c r="C1303" s="31"/>
    </row>
    <row r="1304" spans="3:3">
      <c r="C1304" s="31"/>
    </row>
    <row r="1305" spans="3:3">
      <c r="C1305" s="31"/>
    </row>
    <row r="1306" spans="3:3">
      <c r="C1306" s="31"/>
    </row>
    <row r="1307" spans="3:3">
      <c r="C1307" s="31"/>
    </row>
    <row r="1308" spans="3:3">
      <c r="C1308" s="31"/>
    </row>
    <row r="1309" spans="3:3">
      <c r="C1309" s="31"/>
    </row>
    <row r="1310" spans="3:3">
      <c r="C1310" s="31"/>
    </row>
    <row r="1311" spans="3:3">
      <c r="C1311" s="31"/>
    </row>
    <row r="1312" spans="3:3">
      <c r="C1312" s="31"/>
    </row>
    <row r="1313" spans="3:3">
      <c r="C1313" s="31"/>
    </row>
    <row r="1314" spans="3:3">
      <c r="C1314" s="31"/>
    </row>
    <row r="1315" spans="3:3">
      <c r="C1315" s="31"/>
    </row>
    <row r="1316" spans="3:3">
      <c r="C1316" s="31"/>
    </row>
    <row r="1317" spans="3:3">
      <c r="C1317" s="31"/>
    </row>
    <row r="1318" spans="3:3">
      <c r="C1318" s="31"/>
    </row>
    <row r="1319" spans="3:3">
      <c r="C1319" s="31"/>
    </row>
    <row r="1320" spans="3:3">
      <c r="C1320" s="31"/>
    </row>
    <row r="1321" spans="3:3">
      <c r="C1321" s="31"/>
    </row>
  </sheetData>
  <conditionalFormatting sqref="C17:H500">
    <cfRule type="expression" dxfId="9" priority="1">
      <formula>$C17&lt;&gt;""</formula>
    </cfRule>
  </conditionalFormatting>
  <dataValidations count="5">
    <dataValidation type="list" allowBlank="1" showInputMessage="1" showErrorMessage="1" sqref="D15:H15" xr:uid="{00000000-0002-0000-0200-000000000000}">
      <formula1>$R$4:$R$10</formula1>
    </dataValidation>
    <dataValidation type="list" allowBlank="1" showInputMessage="1" showErrorMessage="1" sqref="F10" xr:uid="{00000000-0002-0000-0200-000001000000}">
      <formula1>$Y$4:$Y$5</formula1>
    </dataValidation>
    <dataValidation type="list" allowBlank="1" showInputMessage="1" showErrorMessage="1" sqref="F7" xr:uid="{00000000-0002-0000-0200-000002000000}">
      <formula1>$U$4:$U$16</formula1>
    </dataValidation>
    <dataValidation type="list" allowBlank="1" showInputMessage="1" showErrorMessage="1" sqref="F8" xr:uid="{00000000-0002-0000-0200-000003000000}">
      <formula1>$W$4:$W$7</formula1>
    </dataValidation>
    <dataValidation type="list" allowBlank="1" showInputMessage="1" showErrorMessage="1" sqref="F9" xr:uid="{00000000-0002-0000-0200-000004000000}">
      <formula1>$X$4:$X$7</formula1>
    </dataValidation>
  </dataValidations>
  <pageMargins left="0.7" right="0.7" top="0.75" bottom="0.75" header="0.3" footer="0.3"/>
  <pageSetup orientation="portrait" r:id="rId1"/>
  <headerFooter>
    <oddFooter>&amp;L&amp;1#&amp;"Calibri"&amp;8&amp;K000000Sensitivity: Confidential</oddFooter>
  </headerFooter>
  <customProperties>
    <customPr name="REFI_OFFICE_FUNCTION_DATA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autoPageBreaks="0"/>
  </sheetPr>
  <dimension ref="A1:JF513"/>
  <sheetViews>
    <sheetView showGridLines="0" zoomScaleNormal="100" workbookViewId="0">
      <selection activeCell="C1" sqref="C1"/>
    </sheetView>
  </sheetViews>
  <sheetFormatPr defaultColWidth="9" defaultRowHeight="13.8"/>
  <cols>
    <col min="1" max="1" width="3.59765625" style="11" customWidth="1"/>
    <col min="2" max="2" width="5.59765625" style="11" customWidth="1"/>
    <col min="3" max="3" width="7.8984375" style="11" customWidth="1"/>
    <col min="4" max="4" width="18.5" style="11" customWidth="1"/>
    <col min="5" max="5" width="19.8984375" style="11" customWidth="1"/>
    <col min="6" max="6" width="18.19921875" style="11" customWidth="1"/>
    <col min="7" max="8" width="9" style="11"/>
    <col min="9" max="9" width="11.5" style="11" bestFit="1" customWidth="1"/>
    <col min="10" max="17" width="9" style="11"/>
    <col min="18" max="18" width="31.59765625" style="11" customWidth="1"/>
    <col min="19" max="20" width="9" style="11"/>
    <col min="21" max="22" width="20.69921875" style="11" customWidth="1"/>
    <col min="23" max="257" width="9" style="11"/>
    <col min="258" max="258" width="19.69921875" style="11" customWidth="1"/>
    <col min="259" max="16384" width="9" style="11"/>
  </cols>
  <sheetData>
    <row r="1" spans="1:266" s="10" customFormat="1" ht="33" customHeight="1" thickBot="1">
      <c r="A1" s="9"/>
      <c r="B1" s="58" t="s">
        <v>2359</v>
      </c>
      <c r="C1" s="5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4" spans="1:266">
      <c r="E4" s="11" t="s">
        <v>20</v>
      </c>
      <c r="F4" s="18" t="s">
        <v>65</v>
      </c>
      <c r="IX4" s="12" t="s">
        <v>3</v>
      </c>
      <c r="IY4" s="11" t="s">
        <v>1</v>
      </c>
      <c r="IZ4" s="11" t="s">
        <v>2</v>
      </c>
      <c r="JA4" s="11" t="s">
        <v>11</v>
      </c>
      <c r="JC4" s="11" t="s">
        <v>12</v>
      </c>
      <c r="JD4" s="11" t="s">
        <v>6</v>
      </c>
      <c r="JE4" s="11" t="s">
        <v>14</v>
      </c>
    </row>
    <row r="5" spans="1:266">
      <c r="E5" s="11" t="s">
        <v>1</v>
      </c>
      <c r="F5" s="18" t="s">
        <v>8</v>
      </c>
      <c r="IX5" s="32" t="s">
        <v>65</v>
      </c>
      <c r="JA5" s="11" t="s">
        <v>25</v>
      </c>
      <c r="JB5" s="11" t="s">
        <v>21</v>
      </c>
      <c r="JC5" s="11" t="s">
        <v>9</v>
      </c>
      <c r="JD5" s="16" t="s">
        <v>2328</v>
      </c>
      <c r="JE5" s="11" t="s">
        <v>15</v>
      </c>
      <c r="JF5" s="11">
        <v>1</v>
      </c>
    </row>
    <row r="6" spans="1:266">
      <c r="E6" s="11" t="s">
        <v>2</v>
      </c>
      <c r="F6" s="13" t="s">
        <v>74</v>
      </c>
      <c r="IX6" s="32" t="s">
        <v>58</v>
      </c>
      <c r="JA6" s="11" t="s">
        <v>26</v>
      </c>
      <c r="JB6" s="11" t="s">
        <v>22</v>
      </c>
      <c r="JC6" s="11" t="s">
        <v>18</v>
      </c>
      <c r="JD6" s="11" t="s">
        <v>47</v>
      </c>
      <c r="JE6" s="11" t="s">
        <v>16</v>
      </c>
      <c r="JF6" s="11">
        <v>0</v>
      </c>
    </row>
    <row r="7" spans="1:266">
      <c r="E7" s="11" t="s">
        <v>4</v>
      </c>
      <c r="F7" s="18" t="s">
        <v>51</v>
      </c>
      <c r="G7" s="19" t="str">
        <f>VLOOKUP(F7,JA5:JB18,2,FALSE)</f>
        <v>C</v>
      </c>
      <c r="IX7" s="32" t="s">
        <v>59</v>
      </c>
      <c r="JA7" s="11" t="s">
        <v>27</v>
      </c>
      <c r="JB7" s="11" t="s">
        <v>23</v>
      </c>
      <c r="JC7" s="11" t="s">
        <v>13</v>
      </c>
      <c r="JD7" s="11" t="s">
        <v>49</v>
      </c>
    </row>
    <row r="8" spans="1:266">
      <c r="E8" s="11" t="s">
        <v>5</v>
      </c>
      <c r="F8" s="18" t="s">
        <v>9</v>
      </c>
      <c r="G8" s="19"/>
      <c r="IX8" s="32" t="s">
        <v>62</v>
      </c>
      <c r="JA8" s="11" t="s">
        <v>28</v>
      </c>
      <c r="JB8" s="11" t="s">
        <v>24</v>
      </c>
      <c r="JC8" s="11" t="s">
        <v>17</v>
      </c>
      <c r="JD8" s="11" t="s">
        <v>48</v>
      </c>
    </row>
    <row r="9" spans="1:266" ht="14.4">
      <c r="E9" s="11" t="s">
        <v>6</v>
      </c>
      <c r="F9" s="13" t="s">
        <v>2328</v>
      </c>
      <c r="G9" s="19"/>
      <c r="IX9" s="27" t="s">
        <v>72</v>
      </c>
      <c r="JA9" s="11" t="s">
        <v>29</v>
      </c>
      <c r="JB9" s="11" t="s">
        <v>37</v>
      </c>
    </row>
    <row r="10" spans="1:266">
      <c r="E10" s="11" t="s">
        <v>7</v>
      </c>
      <c r="F10" s="20" t="s">
        <v>16</v>
      </c>
      <c r="G10" s="19">
        <f>VLOOKUP(F10,JE5:JF6,2,FALSE)</f>
        <v>0</v>
      </c>
      <c r="IX10" s="33" t="s">
        <v>64</v>
      </c>
      <c r="JA10" s="11" t="s">
        <v>30</v>
      </c>
      <c r="JB10" s="11" t="s">
        <v>38</v>
      </c>
    </row>
    <row r="11" spans="1:266">
      <c r="IX11" s="32" t="s">
        <v>66</v>
      </c>
      <c r="JA11" s="11" t="s">
        <v>31</v>
      </c>
      <c r="JB11" s="11" t="s">
        <v>39</v>
      </c>
    </row>
    <row r="12" spans="1:266">
      <c r="E12" s="21" t="s">
        <v>2335</v>
      </c>
      <c r="F12" s="21" t="s">
        <v>2336</v>
      </c>
      <c r="G12" s="21" t="s">
        <v>2337</v>
      </c>
      <c r="H12" s="20" t="s">
        <v>2339</v>
      </c>
      <c r="I12" s="20" t="s">
        <v>2340</v>
      </c>
      <c r="IX12" s="14"/>
      <c r="JA12" s="11" t="s">
        <v>32</v>
      </c>
      <c r="JB12" s="11" t="s">
        <v>40</v>
      </c>
    </row>
    <row r="13" spans="1:266" ht="15.75" customHeight="1">
      <c r="D13" s="22" t="str">
        <f>_xll.TR(E12:I12,F4,"sdate:#1 Edate:#2 Frq:#3 Curn:#4 Null:#5 Adjustment:#6 CH:In RH:calcdate SortD:Calcdate",,F5,F6,G7,F8,F9,G10)</f>
        <v>Updated at 12:35:50</v>
      </c>
      <c r="E13" s="34" t="s">
        <v>2335</v>
      </c>
      <c r="F13" s="23" t="s">
        <v>2336</v>
      </c>
      <c r="G13" s="23" t="s">
        <v>2337</v>
      </c>
      <c r="H13" s="23" t="s">
        <v>2339</v>
      </c>
      <c r="I13" s="23" t="s">
        <v>2340</v>
      </c>
      <c r="J13" s="16"/>
      <c r="K13" s="16"/>
      <c r="L13" s="16"/>
      <c r="M13" s="16"/>
      <c r="N13" s="16"/>
      <c r="O13" s="16"/>
      <c r="P13" s="16"/>
      <c r="Q13" s="16"/>
      <c r="R13" s="35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IX13" s="14"/>
      <c r="JA13" s="11" t="s">
        <v>50</v>
      </c>
      <c r="JB13" s="11" t="s">
        <v>41</v>
      </c>
    </row>
    <row r="14" spans="1:266">
      <c r="D14" s="36">
        <v>45836</v>
      </c>
      <c r="E14" s="37">
        <v>101.04064126002</v>
      </c>
      <c r="F14" s="37">
        <v>125.099610931421</v>
      </c>
      <c r="G14" s="37">
        <v>125.179872948278</v>
      </c>
      <c r="H14" s="37">
        <v>149.99655180340699</v>
      </c>
      <c r="I14" s="37">
        <v>136.525570712042</v>
      </c>
      <c r="R14" s="14"/>
      <c r="IX14" s="14"/>
      <c r="JA14" s="11" t="s">
        <v>33</v>
      </c>
      <c r="JB14" s="11" t="s">
        <v>42</v>
      </c>
    </row>
    <row r="15" spans="1:266">
      <c r="D15" s="36">
        <v>45835</v>
      </c>
      <c r="E15" s="37">
        <v>101.04064126002</v>
      </c>
      <c r="F15" s="37">
        <v>125.099610931421</v>
      </c>
      <c r="G15" s="37">
        <v>125.179872948278</v>
      </c>
      <c r="H15" s="37">
        <v>149.99655180340699</v>
      </c>
      <c r="I15" s="37">
        <v>136.525570712042</v>
      </c>
      <c r="R15" s="14"/>
      <c r="IX15" s="14"/>
      <c r="JA15" s="11" t="s">
        <v>34</v>
      </c>
      <c r="JB15" s="11" t="s">
        <v>43</v>
      </c>
    </row>
    <row r="16" spans="1:266">
      <c r="D16" s="36">
        <v>45834</v>
      </c>
      <c r="E16" s="37">
        <v>100.377879429554</v>
      </c>
      <c r="F16" s="37">
        <v>124.711910806416</v>
      </c>
      <c r="G16" s="37">
        <v>125.179872948278</v>
      </c>
      <c r="H16" s="37">
        <v>149.99655180340699</v>
      </c>
      <c r="I16" s="37">
        <v>144.57100884914499</v>
      </c>
      <c r="R16" s="14"/>
      <c r="IX16" s="14"/>
      <c r="JA16" s="11" t="s">
        <v>35</v>
      </c>
      <c r="JB16" s="11" t="s">
        <v>44</v>
      </c>
    </row>
    <row r="17" spans="4:262">
      <c r="D17" s="36">
        <v>45833</v>
      </c>
      <c r="E17" s="37">
        <v>102.237352951464</v>
      </c>
      <c r="F17" s="37">
        <v>125.91668512667501</v>
      </c>
      <c r="G17" s="37">
        <v>133.33026826969501</v>
      </c>
      <c r="H17" s="37">
        <v>149.99655180340699</v>
      </c>
      <c r="I17" s="37">
        <v>144.57100884914499</v>
      </c>
      <c r="R17" s="14"/>
      <c r="IX17" s="14"/>
      <c r="JA17" s="11" t="s">
        <v>36</v>
      </c>
      <c r="JB17" s="11" t="s">
        <v>45</v>
      </c>
    </row>
    <row r="18" spans="4:262">
      <c r="D18" s="36">
        <v>45832</v>
      </c>
      <c r="E18" s="37">
        <v>102.139366431797</v>
      </c>
      <c r="F18" s="37">
        <v>125.831427675949</v>
      </c>
      <c r="G18" s="37">
        <v>133.33026826969501</v>
      </c>
      <c r="H18" s="37">
        <v>149.99655180340699</v>
      </c>
      <c r="I18" s="37">
        <v>141.90859809395599</v>
      </c>
      <c r="R18" s="14"/>
      <c r="IX18" s="14"/>
      <c r="JA18" s="11" t="s">
        <v>51</v>
      </c>
      <c r="JB18" s="11" t="s">
        <v>46</v>
      </c>
    </row>
    <row r="19" spans="4:262">
      <c r="D19" s="36">
        <v>45831</v>
      </c>
      <c r="E19" s="37">
        <v>107.065959761998</v>
      </c>
      <c r="F19" s="37">
        <v>132.139467043271</v>
      </c>
      <c r="G19" s="37">
        <v>133.33026826969501</v>
      </c>
      <c r="H19" s="37">
        <v>149.99655180340699</v>
      </c>
      <c r="I19" s="37">
        <v>145.34440102661301</v>
      </c>
      <c r="R19" s="14"/>
      <c r="IX19" s="14"/>
    </row>
    <row r="20" spans="4:262">
      <c r="D20" s="36">
        <v>45830</v>
      </c>
      <c r="E20" s="37">
        <v>106.406268003226</v>
      </c>
      <c r="F20" s="37">
        <v>132.21569305219501</v>
      </c>
      <c r="G20" s="37">
        <v>133.33026826969501</v>
      </c>
      <c r="H20" s="37">
        <v>149.99655180340699</v>
      </c>
      <c r="I20" s="37">
        <v>145.34440102661301</v>
      </c>
      <c r="R20" s="14"/>
      <c r="IX20" s="14"/>
    </row>
    <row r="21" spans="4:262">
      <c r="D21" s="36">
        <v>45829</v>
      </c>
      <c r="E21" s="37">
        <v>106.406268003226</v>
      </c>
      <c r="F21" s="37">
        <v>132.21569305219501</v>
      </c>
      <c r="G21" s="37">
        <v>133.33026826969501</v>
      </c>
      <c r="H21" s="37">
        <v>149.99655180340699</v>
      </c>
      <c r="I21" s="37">
        <v>145.34440102661301</v>
      </c>
      <c r="R21" s="14"/>
      <c r="IX21" s="14"/>
    </row>
    <row r="22" spans="4:262">
      <c r="D22" s="36">
        <v>45828</v>
      </c>
      <c r="E22" s="37">
        <v>106.406268003226</v>
      </c>
      <c r="F22" s="37">
        <v>132.21569305219501</v>
      </c>
      <c r="G22" s="37">
        <v>133.33026826969501</v>
      </c>
      <c r="H22" s="37">
        <v>149.99655180340699</v>
      </c>
      <c r="I22" s="37">
        <v>145.34440102661301</v>
      </c>
      <c r="R22" s="14"/>
      <c r="IX22" s="14"/>
    </row>
    <row r="23" spans="4:262">
      <c r="D23" s="36">
        <v>45827</v>
      </c>
      <c r="E23" s="37" t="s">
        <v>19</v>
      </c>
      <c r="F23" s="37" t="s">
        <v>19</v>
      </c>
      <c r="G23" s="37" t="s">
        <v>19</v>
      </c>
      <c r="H23" s="37">
        <v>149.99655180340699</v>
      </c>
      <c r="I23" s="37" t="s">
        <v>19</v>
      </c>
      <c r="R23" s="14"/>
    </row>
    <row r="24" spans="4:262">
      <c r="D24" s="36"/>
      <c r="E24" s="37"/>
      <c r="F24" s="37"/>
      <c r="G24" s="37"/>
      <c r="H24" s="37"/>
      <c r="I24" s="37"/>
    </row>
    <row r="25" spans="4:262">
      <c r="D25" s="36"/>
      <c r="E25" s="37"/>
      <c r="F25" s="37"/>
      <c r="G25" s="37"/>
      <c r="H25" s="37"/>
      <c r="I25" s="37"/>
    </row>
    <row r="26" spans="4:262">
      <c r="D26" s="38"/>
      <c r="E26" s="39"/>
      <c r="F26" s="39"/>
      <c r="G26" s="39"/>
      <c r="H26" s="39"/>
      <c r="I26" s="39"/>
      <c r="R26" s="14"/>
    </row>
    <row r="27" spans="4:262">
      <c r="D27" s="38"/>
      <c r="E27" s="39"/>
      <c r="F27" s="40"/>
      <c r="G27" s="39"/>
      <c r="H27" s="39"/>
      <c r="I27" s="39"/>
    </row>
    <row r="28" spans="4:262">
      <c r="D28" s="38"/>
      <c r="I28" s="16"/>
    </row>
    <row r="29" spans="4:262">
      <c r="D29" s="38"/>
      <c r="I29" s="16"/>
    </row>
    <row r="30" spans="4:262">
      <c r="D30" s="38"/>
      <c r="I30" s="16"/>
    </row>
    <row r="31" spans="4:262">
      <c r="D31" s="38"/>
      <c r="I31" s="16"/>
    </row>
    <row r="32" spans="4:262">
      <c r="D32" s="31"/>
      <c r="I32" s="16"/>
    </row>
    <row r="33" spans="4:9">
      <c r="D33" s="31"/>
      <c r="E33" s="16"/>
      <c r="F33" s="16"/>
      <c r="G33" s="16"/>
      <c r="H33" s="16"/>
      <c r="I33" s="16"/>
    </row>
    <row r="34" spans="4:9">
      <c r="D34" s="31"/>
      <c r="E34" s="16"/>
      <c r="F34" s="16"/>
      <c r="G34" s="16"/>
      <c r="H34" s="16"/>
      <c r="I34" s="16"/>
    </row>
    <row r="35" spans="4:9">
      <c r="D35" s="31"/>
      <c r="I35" s="16"/>
    </row>
    <row r="36" spans="4:9">
      <c r="D36" s="31"/>
      <c r="I36" s="16"/>
    </row>
    <row r="37" spans="4:9">
      <c r="D37" s="31"/>
      <c r="I37" s="16"/>
    </row>
    <row r="38" spans="4:9">
      <c r="D38" s="38"/>
      <c r="I38" s="16"/>
    </row>
    <row r="39" spans="4:9">
      <c r="D39" s="38"/>
      <c r="E39" s="16"/>
      <c r="G39" s="16"/>
      <c r="H39" s="16"/>
      <c r="I39" s="16"/>
    </row>
    <row r="40" spans="4:9">
      <c r="D40" s="38"/>
      <c r="E40" s="16"/>
      <c r="G40" s="16"/>
      <c r="H40" s="16"/>
      <c r="I40" s="16"/>
    </row>
    <row r="41" spans="4:9">
      <c r="D41" s="38"/>
      <c r="E41" s="16"/>
      <c r="G41" s="16"/>
      <c r="H41" s="16"/>
      <c r="I41" s="16"/>
    </row>
    <row r="42" spans="4:9">
      <c r="D42" s="38"/>
      <c r="I42" s="16"/>
    </row>
    <row r="43" spans="4:9">
      <c r="D43" s="38"/>
      <c r="F43" s="16"/>
      <c r="I43" s="16"/>
    </row>
    <row r="44" spans="4:9">
      <c r="D44" s="38"/>
    </row>
    <row r="45" spans="4:9">
      <c r="D45" s="38"/>
    </row>
    <row r="46" spans="4:9">
      <c r="D46" s="38"/>
    </row>
    <row r="47" spans="4:9">
      <c r="D47" s="38"/>
    </row>
    <row r="48" spans="4:9">
      <c r="D48" s="38"/>
    </row>
    <row r="49" spans="4:4">
      <c r="D49" s="38"/>
    </row>
    <row r="50" spans="4:4">
      <c r="D50" s="38"/>
    </row>
    <row r="51" spans="4:4">
      <c r="D51" s="38"/>
    </row>
    <row r="52" spans="4:4">
      <c r="D52" s="38"/>
    </row>
    <row r="53" spans="4:4">
      <c r="D53" s="38"/>
    </row>
    <row r="54" spans="4:4">
      <c r="D54" s="38"/>
    </row>
    <row r="55" spans="4:4">
      <c r="D55" s="38"/>
    </row>
    <row r="56" spans="4:4">
      <c r="D56" s="38"/>
    </row>
    <row r="57" spans="4:4">
      <c r="D57" s="38"/>
    </row>
    <row r="58" spans="4:4">
      <c r="D58" s="38"/>
    </row>
    <row r="59" spans="4:4">
      <c r="D59" s="38"/>
    </row>
    <row r="60" spans="4:4">
      <c r="D60" s="38"/>
    </row>
    <row r="61" spans="4:4">
      <c r="D61" s="38"/>
    </row>
    <row r="62" spans="4:4">
      <c r="D62" s="38"/>
    </row>
    <row r="63" spans="4:4">
      <c r="D63" s="38"/>
    </row>
    <row r="64" spans="4:4">
      <c r="D64" s="38"/>
    </row>
    <row r="65" spans="4:4">
      <c r="D65" s="38"/>
    </row>
    <row r="66" spans="4:4">
      <c r="D66" s="38"/>
    </row>
    <row r="67" spans="4:4">
      <c r="D67" s="38"/>
    </row>
    <row r="68" spans="4:4">
      <c r="D68" s="38"/>
    </row>
    <row r="69" spans="4:4">
      <c r="D69" s="38"/>
    </row>
    <row r="70" spans="4:4">
      <c r="D70" s="38"/>
    </row>
    <row r="71" spans="4:4">
      <c r="D71" s="38"/>
    </row>
    <row r="72" spans="4:4">
      <c r="D72" s="38"/>
    </row>
    <row r="73" spans="4:4">
      <c r="D73" s="38"/>
    </row>
    <row r="74" spans="4:4">
      <c r="D74" s="38"/>
    </row>
    <row r="75" spans="4:4">
      <c r="D75" s="38"/>
    </row>
    <row r="76" spans="4:4">
      <c r="D76" s="38"/>
    </row>
    <row r="77" spans="4:4">
      <c r="D77" s="38"/>
    </row>
    <row r="78" spans="4:4">
      <c r="D78" s="38"/>
    </row>
    <row r="79" spans="4:4">
      <c r="D79" s="38"/>
    </row>
    <row r="80" spans="4:4">
      <c r="D80" s="38"/>
    </row>
    <row r="81" spans="4:4">
      <c r="D81" s="38"/>
    </row>
    <row r="82" spans="4:4">
      <c r="D82" s="38"/>
    </row>
    <row r="83" spans="4:4">
      <c r="D83" s="38"/>
    </row>
    <row r="84" spans="4:4">
      <c r="D84" s="38"/>
    </row>
    <row r="85" spans="4:4">
      <c r="D85" s="38"/>
    </row>
    <row r="86" spans="4:4">
      <c r="D86" s="38"/>
    </row>
    <row r="87" spans="4:4">
      <c r="D87" s="38"/>
    </row>
    <row r="88" spans="4:4">
      <c r="D88" s="38"/>
    </row>
    <row r="89" spans="4:4">
      <c r="D89" s="38"/>
    </row>
    <row r="90" spans="4:4">
      <c r="D90" s="38"/>
    </row>
    <row r="91" spans="4:4">
      <c r="D91" s="38"/>
    </row>
    <row r="92" spans="4:4">
      <c r="D92" s="38"/>
    </row>
    <row r="93" spans="4:4">
      <c r="D93" s="38"/>
    </row>
    <row r="94" spans="4:4">
      <c r="D94" s="38"/>
    </row>
    <row r="95" spans="4:4">
      <c r="D95" s="38"/>
    </row>
    <row r="96" spans="4:4">
      <c r="D96" s="38"/>
    </row>
    <row r="97" spans="4:4">
      <c r="D97" s="38"/>
    </row>
    <row r="98" spans="4:4">
      <c r="D98" s="38"/>
    </row>
    <row r="99" spans="4:4">
      <c r="D99" s="38"/>
    </row>
    <row r="100" spans="4:4">
      <c r="D100" s="38"/>
    </row>
    <row r="101" spans="4:4">
      <c r="D101" s="38"/>
    </row>
    <row r="102" spans="4:4">
      <c r="D102" s="38"/>
    </row>
    <row r="103" spans="4:4">
      <c r="D103" s="38"/>
    </row>
    <row r="104" spans="4:4">
      <c r="D104" s="38"/>
    </row>
    <row r="105" spans="4:4">
      <c r="D105" s="38"/>
    </row>
    <row r="106" spans="4:4">
      <c r="D106" s="38"/>
    </row>
    <row r="107" spans="4:4">
      <c r="D107" s="38"/>
    </row>
    <row r="108" spans="4:4">
      <c r="D108" s="38"/>
    </row>
    <row r="109" spans="4:4">
      <c r="D109" s="38"/>
    </row>
    <row r="110" spans="4:4">
      <c r="D110" s="38"/>
    </row>
    <row r="111" spans="4:4">
      <c r="D111" s="38"/>
    </row>
    <row r="112" spans="4:4">
      <c r="D112" s="38"/>
    </row>
    <row r="113" spans="4:4">
      <c r="D113" s="38"/>
    </row>
    <row r="114" spans="4:4">
      <c r="D114" s="38"/>
    </row>
    <row r="115" spans="4:4">
      <c r="D115" s="38"/>
    </row>
    <row r="116" spans="4:4">
      <c r="D116" s="38"/>
    </row>
    <row r="117" spans="4:4">
      <c r="D117" s="38"/>
    </row>
    <row r="118" spans="4:4">
      <c r="D118" s="38"/>
    </row>
    <row r="119" spans="4:4">
      <c r="D119" s="38"/>
    </row>
    <row r="120" spans="4:4">
      <c r="D120" s="38"/>
    </row>
    <row r="121" spans="4:4">
      <c r="D121" s="38"/>
    </row>
    <row r="122" spans="4:4">
      <c r="D122" s="38"/>
    </row>
    <row r="123" spans="4:4">
      <c r="D123" s="38"/>
    </row>
    <row r="124" spans="4:4">
      <c r="D124" s="38"/>
    </row>
    <row r="125" spans="4:4">
      <c r="D125" s="38"/>
    </row>
    <row r="126" spans="4:4">
      <c r="D126" s="38"/>
    </row>
    <row r="127" spans="4:4">
      <c r="D127" s="38"/>
    </row>
    <row r="128" spans="4:4">
      <c r="D128" s="38"/>
    </row>
    <row r="129" spans="4:4">
      <c r="D129" s="38"/>
    </row>
    <row r="130" spans="4:4">
      <c r="D130" s="38"/>
    </row>
    <row r="131" spans="4:4">
      <c r="D131" s="38"/>
    </row>
    <row r="132" spans="4:4">
      <c r="D132" s="38"/>
    </row>
    <row r="133" spans="4:4">
      <c r="D133" s="38"/>
    </row>
    <row r="134" spans="4:4">
      <c r="D134" s="38"/>
    </row>
    <row r="135" spans="4:4">
      <c r="D135" s="38"/>
    </row>
    <row r="136" spans="4:4">
      <c r="D136" s="38"/>
    </row>
    <row r="137" spans="4:4">
      <c r="D137" s="38"/>
    </row>
    <row r="138" spans="4:4">
      <c r="D138" s="38"/>
    </row>
    <row r="139" spans="4:4">
      <c r="D139" s="38"/>
    </row>
    <row r="140" spans="4:4">
      <c r="D140" s="38"/>
    </row>
    <row r="141" spans="4:4">
      <c r="D141" s="38"/>
    </row>
    <row r="142" spans="4:4">
      <c r="D142" s="38"/>
    </row>
    <row r="143" spans="4:4">
      <c r="D143" s="38"/>
    </row>
    <row r="144" spans="4:4">
      <c r="D144" s="38"/>
    </row>
    <row r="145" spans="4:4">
      <c r="D145" s="38"/>
    </row>
    <row r="146" spans="4:4">
      <c r="D146" s="38"/>
    </row>
    <row r="147" spans="4:4">
      <c r="D147" s="38"/>
    </row>
    <row r="148" spans="4:4">
      <c r="D148" s="38"/>
    </row>
    <row r="149" spans="4:4">
      <c r="D149" s="38"/>
    </row>
    <row r="150" spans="4:4">
      <c r="D150" s="38"/>
    </row>
    <row r="151" spans="4:4">
      <c r="D151" s="38"/>
    </row>
    <row r="152" spans="4:4">
      <c r="D152" s="38"/>
    </row>
    <row r="153" spans="4:4">
      <c r="D153" s="38"/>
    </row>
    <row r="154" spans="4:4">
      <c r="D154" s="38"/>
    </row>
    <row r="155" spans="4:4">
      <c r="D155" s="38"/>
    </row>
    <row r="156" spans="4:4">
      <c r="D156" s="38"/>
    </row>
    <row r="157" spans="4:4">
      <c r="D157" s="38"/>
    </row>
    <row r="158" spans="4:4">
      <c r="D158" s="38"/>
    </row>
    <row r="159" spans="4:4">
      <c r="D159" s="38"/>
    </row>
    <row r="160" spans="4:4">
      <c r="D160" s="38"/>
    </row>
    <row r="161" spans="4:4">
      <c r="D161" s="38"/>
    </row>
    <row r="162" spans="4:4">
      <c r="D162" s="38"/>
    </row>
    <row r="163" spans="4:4">
      <c r="D163" s="38"/>
    </row>
    <row r="164" spans="4:4">
      <c r="D164" s="38"/>
    </row>
    <row r="165" spans="4:4">
      <c r="D165" s="38"/>
    </row>
    <row r="166" spans="4:4">
      <c r="D166" s="38"/>
    </row>
    <row r="167" spans="4:4">
      <c r="D167" s="38"/>
    </row>
    <row r="168" spans="4:4">
      <c r="D168" s="38"/>
    </row>
    <row r="169" spans="4:4">
      <c r="D169" s="38"/>
    </row>
    <row r="170" spans="4:4">
      <c r="D170" s="38"/>
    </row>
    <row r="171" spans="4:4">
      <c r="D171" s="38"/>
    </row>
    <row r="172" spans="4:4">
      <c r="D172" s="38"/>
    </row>
    <row r="173" spans="4:4">
      <c r="D173" s="38"/>
    </row>
    <row r="174" spans="4:4">
      <c r="D174" s="38"/>
    </row>
    <row r="175" spans="4:4">
      <c r="D175" s="38"/>
    </row>
    <row r="176" spans="4:4">
      <c r="D176" s="38"/>
    </row>
    <row r="177" spans="4:4">
      <c r="D177" s="38"/>
    </row>
    <row r="178" spans="4:4">
      <c r="D178" s="38"/>
    </row>
    <row r="179" spans="4:4">
      <c r="D179" s="38"/>
    </row>
    <row r="180" spans="4:4">
      <c r="D180" s="38"/>
    </row>
    <row r="181" spans="4:4">
      <c r="D181" s="38"/>
    </row>
    <row r="182" spans="4:4">
      <c r="D182" s="38"/>
    </row>
    <row r="183" spans="4:4">
      <c r="D183" s="38"/>
    </row>
    <row r="184" spans="4:4">
      <c r="D184" s="38"/>
    </row>
    <row r="185" spans="4:4">
      <c r="D185" s="38"/>
    </row>
    <row r="186" spans="4:4">
      <c r="D186" s="38"/>
    </row>
    <row r="187" spans="4:4">
      <c r="D187" s="38"/>
    </row>
    <row r="188" spans="4:4">
      <c r="D188" s="38"/>
    </row>
    <row r="189" spans="4:4">
      <c r="D189" s="38"/>
    </row>
    <row r="190" spans="4:4">
      <c r="D190" s="38"/>
    </row>
    <row r="191" spans="4:4">
      <c r="D191" s="38"/>
    </row>
    <row r="192" spans="4:4">
      <c r="D192" s="38"/>
    </row>
    <row r="193" spans="4:4">
      <c r="D193" s="38"/>
    </row>
    <row r="194" spans="4:4">
      <c r="D194" s="38"/>
    </row>
    <row r="195" spans="4:4">
      <c r="D195" s="38"/>
    </row>
    <row r="196" spans="4:4">
      <c r="D196" s="38"/>
    </row>
    <row r="197" spans="4:4">
      <c r="D197" s="38"/>
    </row>
    <row r="198" spans="4:4">
      <c r="D198" s="38"/>
    </row>
    <row r="199" spans="4:4">
      <c r="D199" s="38"/>
    </row>
    <row r="200" spans="4:4">
      <c r="D200" s="38"/>
    </row>
    <row r="201" spans="4:4">
      <c r="D201" s="38"/>
    </row>
    <row r="202" spans="4:4">
      <c r="D202" s="38"/>
    </row>
    <row r="203" spans="4:4">
      <c r="D203" s="38"/>
    </row>
    <row r="204" spans="4:4">
      <c r="D204" s="38"/>
    </row>
    <row r="205" spans="4:4">
      <c r="D205" s="38"/>
    </row>
    <row r="206" spans="4:4">
      <c r="D206" s="38"/>
    </row>
    <row r="207" spans="4:4">
      <c r="D207" s="38"/>
    </row>
    <row r="208" spans="4:4">
      <c r="D208" s="38"/>
    </row>
    <row r="209" spans="4:4">
      <c r="D209" s="38"/>
    </row>
    <row r="210" spans="4:4">
      <c r="D210" s="38"/>
    </row>
    <row r="211" spans="4:4">
      <c r="D211" s="38"/>
    </row>
    <row r="212" spans="4:4">
      <c r="D212" s="38"/>
    </row>
    <row r="213" spans="4:4">
      <c r="D213" s="38"/>
    </row>
    <row r="214" spans="4:4">
      <c r="D214" s="38"/>
    </row>
    <row r="215" spans="4:4">
      <c r="D215" s="38"/>
    </row>
    <row r="216" spans="4:4">
      <c r="D216" s="38"/>
    </row>
    <row r="217" spans="4:4">
      <c r="D217" s="38"/>
    </row>
    <row r="218" spans="4:4">
      <c r="D218" s="38"/>
    </row>
    <row r="219" spans="4:4">
      <c r="D219" s="38"/>
    </row>
    <row r="220" spans="4:4">
      <c r="D220" s="38"/>
    </row>
    <row r="221" spans="4:4">
      <c r="D221" s="38"/>
    </row>
    <row r="222" spans="4:4">
      <c r="D222" s="38"/>
    </row>
    <row r="223" spans="4:4">
      <c r="D223" s="38"/>
    </row>
    <row r="224" spans="4:4">
      <c r="D224" s="38"/>
    </row>
    <row r="225" spans="4:4">
      <c r="D225" s="38"/>
    </row>
    <row r="226" spans="4:4">
      <c r="D226" s="38"/>
    </row>
    <row r="227" spans="4:4">
      <c r="D227" s="38"/>
    </row>
    <row r="228" spans="4:4">
      <c r="D228" s="38"/>
    </row>
    <row r="229" spans="4:4">
      <c r="D229" s="38"/>
    </row>
    <row r="230" spans="4:4">
      <c r="D230" s="38"/>
    </row>
    <row r="231" spans="4:4">
      <c r="D231" s="38"/>
    </row>
    <row r="232" spans="4:4">
      <c r="D232" s="38"/>
    </row>
    <row r="233" spans="4:4">
      <c r="D233" s="38"/>
    </row>
    <row r="234" spans="4:4">
      <c r="D234" s="38"/>
    </row>
    <row r="235" spans="4:4">
      <c r="D235" s="38"/>
    </row>
    <row r="236" spans="4:4">
      <c r="D236" s="38"/>
    </row>
    <row r="237" spans="4:4">
      <c r="D237" s="38"/>
    </row>
    <row r="238" spans="4:4">
      <c r="D238" s="38"/>
    </row>
    <row r="239" spans="4:4">
      <c r="D239" s="38"/>
    </row>
    <row r="240" spans="4:4">
      <c r="D240" s="38"/>
    </row>
    <row r="241" spans="4:4">
      <c r="D241" s="38"/>
    </row>
    <row r="242" spans="4:4">
      <c r="D242" s="38"/>
    </row>
    <row r="243" spans="4:4">
      <c r="D243" s="38"/>
    </row>
    <row r="244" spans="4:4">
      <c r="D244" s="38"/>
    </row>
    <row r="245" spans="4:4">
      <c r="D245" s="38"/>
    </row>
    <row r="246" spans="4:4">
      <c r="D246" s="38"/>
    </row>
    <row r="247" spans="4:4">
      <c r="D247" s="38"/>
    </row>
    <row r="248" spans="4:4">
      <c r="D248" s="38"/>
    </row>
    <row r="249" spans="4:4">
      <c r="D249" s="38"/>
    </row>
    <row r="250" spans="4:4">
      <c r="D250" s="38"/>
    </row>
    <row r="251" spans="4:4">
      <c r="D251" s="38"/>
    </row>
    <row r="252" spans="4:4">
      <c r="D252" s="38"/>
    </row>
    <row r="253" spans="4:4">
      <c r="D253" s="38"/>
    </row>
    <row r="254" spans="4:4">
      <c r="D254" s="38"/>
    </row>
    <row r="255" spans="4:4">
      <c r="D255" s="38"/>
    </row>
    <row r="256" spans="4:4">
      <c r="D256" s="38"/>
    </row>
    <row r="257" spans="4:4">
      <c r="D257" s="38"/>
    </row>
    <row r="258" spans="4:4">
      <c r="D258" s="38"/>
    </row>
    <row r="259" spans="4:4">
      <c r="D259" s="38"/>
    </row>
    <row r="260" spans="4:4">
      <c r="D260" s="38"/>
    </row>
    <row r="261" spans="4:4">
      <c r="D261" s="38"/>
    </row>
    <row r="262" spans="4:4">
      <c r="D262" s="38"/>
    </row>
    <row r="263" spans="4:4">
      <c r="D263" s="38"/>
    </row>
    <row r="264" spans="4:4">
      <c r="D264" s="38"/>
    </row>
    <row r="265" spans="4:4">
      <c r="D265" s="38"/>
    </row>
    <row r="266" spans="4:4">
      <c r="D266" s="38"/>
    </row>
    <row r="267" spans="4:4">
      <c r="D267" s="38"/>
    </row>
    <row r="268" spans="4:4">
      <c r="D268" s="38"/>
    </row>
    <row r="269" spans="4:4">
      <c r="D269" s="38"/>
    </row>
    <row r="270" spans="4:4">
      <c r="D270" s="38"/>
    </row>
    <row r="271" spans="4:4">
      <c r="D271" s="38"/>
    </row>
    <row r="272" spans="4:4">
      <c r="D272" s="38"/>
    </row>
    <row r="273" spans="4:4">
      <c r="D273" s="38"/>
    </row>
    <row r="274" spans="4:4">
      <c r="D274" s="38"/>
    </row>
    <row r="275" spans="4:4">
      <c r="D275" s="38"/>
    </row>
    <row r="276" spans="4:4">
      <c r="D276" s="38"/>
    </row>
    <row r="277" spans="4:4">
      <c r="D277" s="38"/>
    </row>
    <row r="278" spans="4:4">
      <c r="D278" s="38"/>
    </row>
    <row r="279" spans="4:4">
      <c r="D279" s="38"/>
    </row>
    <row r="280" spans="4:4">
      <c r="D280" s="38"/>
    </row>
    <row r="281" spans="4:4">
      <c r="D281" s="38"/>
    </row>
    <row r="282" spans="4:4">
      <c r="D282" s="38"/>
    </row>
    <row r="283" spans="4:4">
      <c r="D283" s="38"/>
    </row>
    <row r="284" spans="4:4">
      <c r="D284" s="38"/>
    </row>
    <row r="285" spans="4:4">
      <c r="D285" s="38"/>
    </row>
    <row r="286" spans="4:4">
      <c r="D286" s="38"/>
    </row>
    <row r="287" spans="4:4">
      <c r="D287" s="38"/>
    </row>
    <row r="288" spans="4:4">
      <c r="D288" s="38"/>
    </row>
    <row r="289" spans="4:4">
      <c r="D289" s="38"/>
    </row>
    <row r="290" spans="4:4">
      <c r="D290" s="38"/>
    </row>
    <row r="291" spans="4:4">
      <c r="D291" s="38"/>
    </row>
    <row r="292" spans="4:4">
      <c r="D292" s="38"/>
    </row>
    <row r="293" spans="4:4">
      <c r="D293" s="38"/>
    </row>
    <row r="294" spans="4:4">
      <c r="D294" s="38"/>
    </row>
    <row r="295" spans="4:4">
      <c r="D295" s="38"/>
    </row>
    <row r="296" spans="4:4">
      <c r="D296" s="38"/>
    </row>
    <row r="297" spans="4:4">
      <c r="D297" s="38"/>
    </row>
    <row r="298" spans="4:4">
      <c r="D298" s="38"/>
    </row>
    <row r="299" spans="4:4">
      <c r="D299" s="38"/>
    </row>
    <row r="300" spans="4:4">
      <c r="D300" s="38"/>
    </row>
    <row r="301" spans="4:4">
      <c r="D301" s="38"/>
    </row>
    <row r="302" spans="4:4">
      <c r="D302" s="38"/>
    </row>
    <row r="303" spans="4:4">
      <c r="D303" s="38"/>
    </row>
    <row r="304" spans="4:4">
      <c r="D304" s="38"/>
    </row>
    <row r="305" spans="4:4">
      <c r="D305" s="38"/>
    </row>
    <row r="306" spans="4:4">
      <c r="D306" s="38"/>
    </row>
    <row r="307" spans="4:4">
      <c r="D307" s="38"/>
    </row>
    <row r="308" spans="4:4">
      <c r="D308" s="38"/>
    </row>
    <row r="309" spans="4:4">
      <c r="D309" s="38"/>
    </row>
    <row r="310" spans="4:4">
      <c r="D310" s="38"/>
    </row>
    <row r="311" spans="4:4">
      <c r="D311" s="38"/>
    </row>
    <row r="312" spans="4:4">
      <c r="D312" s="38"/>
    </row>
    <row r="313" spans="4:4">
      <c r="D313" s="38"/>
    </row>
    <row r="314" spans="4:4">
      <c r="D314" s="38"/>
    </row>
    <row r="315" spans="4:4">
      <c r="D315" s="38"/>
    </row>
    <row r="316" spans="4:4">
      <c r="D316" s="38"/>
    </row>
    <row r="317" spans="4:4">
      <c r="D317" s="38"/>
    </row>
    <row r="318" spans="4:4">
      <c r="D318" s="38"/>
    </row>
    <row r="319" spans="4:4">
      <c r="D319" s="38"/>
    </row>
    <row r="320" spans="4:4">
      <c r="D320" s="38"/>
    </row>
    <row r="321" spans="4:4">
      <c r="D321" s="38"/>
    </row>
    <row r="322" spans="4:4">
      <c r="D322" s="38"/>
    </row>
    <row r="323" spans="4:4">
      <c r="D323" s="38"/>
    </row>
    <row r="324" spans="4:4">
      <c r="D324" s="38"/>
    </row>
    <row r="325" spans="4:4">
      <c r="D325" s="38"/>
    </row>
    <row r="326" spans="4:4">
      <c r="D326" s="38"/>
    </row>
    <row r="327" spans="4:4">
      <c r="D327" s="38"/>
    </row>
    <row r="328" spans="4:4">
      <c r="D328" s="38"/>
    </row>
    <row r="329" spans="4:4">
      <c r="D329" s="38"/>
    </row>
    <row r="330" spans="4:4">
      <c r="D330" s="38"/>
    </row>
    <row r="331" spans="4:4">
      <c r="D331" s="38"/>
    </row>
    <row r="332" spans="4:4">
      <c r="D332" s="38"/>
    </row>
    <row r="333" spans="4:4">
      <c r="D333" s="38"/>
    </row>
    <row r="334" spans="4:4">
      <c r="D334" s="38"/>
    </row>
    <row r="335" spans="4:4">
      <c r="D335" s="38"/>
    </row>
    <row r="336" spans="4:4">
      <c r="D336" s="38"/>
    </row>
    <row r="337" spans="4:4">
      <c r="D337" s="38"/>
    </row>
    <row r="338" spans="4:4">
      <c r="D338" s="38"/>
    </row>
    <row r="339" spans="4:4">
      <c r="D339" s="38"/>
    </row>
    <row r="340" spans="4:4">
      <c r="D340" s="38"/>
    </row>
    <row r="341" spans="4:4">
      <c r="D341" s="38"/>
    </row>
    <row r="342" spans="4:4">
      <c r="D342" s="38"/>
    </row>
    <row r="343" spans="4:4">
      <c r="D343" s="38"/>
    </row>
    <row r="344" spans="4:4">
      <c r="D344" s="38"/>
    </row>
    <row r="345" spans="4:4">
      <c r="D345" s="38"/>
    </row>
    <row r="346" spans="4:4">
      <c r="D346" s="38"/>
    </row>
    <row r="347" spans="4:4">
      <c r="D347" s="38"/>
    </row>
    <row r="348" spans="4:4">
      <c r="D348" s="38"/>
    </row>
    <row r="349" spans="4:4">
      <c r="D349" s="38"/>
    </row>
    <row r="350" spans="4:4">
      <c r="D350" s="38"/>
    </row>
    <row r="351" spans="4:4">
      <c r="D351" s="38"/>
    </row>
    <row r="352" spans="4:4">
      <c r="D352" s="38"/>
    </row>
    <row r="353" spans="4:4">
      <c r="D353" s="38"/>
    </row>
    <row r="354" spans="4:4">
      <c r="D354" s="38"/>
    </row>
    <row r="355" spans="4:4">
      <c r="D355" s="38"/>
    </row>
    <row r="356" spans="4:4">
      <c r="D356" s="38"/>
    </row>
    <row r="357" spans="4:4">
      <c r="D357" s="38"/>
    </row>
    <row r="358" spans="4:4">
      <c r="D358" s="38"/>
    </row>
    <row r="359" spans="4:4">
      <c r="D359" s="38"/>
    </row>
    <row r="360" spans="4:4">
      <c r="D360" s="38"/>
    </row>
    <row r="361" spans="4:4">
      <c r="D361" s="38"/>
    </row>
    <row r="362" spans="4:4">
      <c r="D362" s="38"/>
    </row>
    <row r="363" spans="4:4">
      <c r="D363" s="38"/>
    </row>
    <row r="364" spans="4:4">
      <c r="D364" s="38"/>
    </row>
    <row r="365" spans="4:4">
      <c r="D365" s="38"/>
    </row>
    <row r="366" spans="4:4">
      <c r="D366" s="38"/>
    </row>
    <row r="367" spans="4:4">
      <c r="D367" s="38"/>
    </row>
    <row r="368" spans="4:4">
      <c r="D368" s="38"/>
    </row>
    <row r="369" spans="4:4">
      <c r="D369" s="38"/>
    </row>
    <row r="370" spans="4:4">
      <c r="D370" s="38"/>
    </row>
    <row r="371" spans="4:4">
      <c r="D371" s="38"/>
    </row>
    <row r="372" spans="4:4">
      <c r="D372" s="38"/>
    </row>
    <row r="373" spans="4:4">
      <c r="D373" s="38"/>
    </row>
    <row r="374" spans="4:4">
      <c r="D374" s="38"/>
    </row>
    <row r="375" spans="4:4">
      <c r="D375" s="38"/>
    </row>
    <row r="376" spans="4:4">
      <c r="D376" s="38"/>
    </row>
    <row r="377" spans="4:4">
      <c r="D377" s="38"/>
    </row>
    <row r="378" spans="4:4">
      <c r="D378" s="38"/>
    </row>
    <row r="379" spans="4:4">
      <c r="D379" s="38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4">
      <c r="D481" s="16"/>
    </row>
    <row r="482" spans="4:4">
      <c r="D482" s="16"/>
    </row>
    <row r="483" spans="4:4">
      <c r="D483" s="16"/>
    </row>
    <row r="484" spans="4:4">
      <c r="D484" s="16"/>
    </row>
    <row r="485" spans="4:4">
      <c r="D485" s="16"/>
    </row>
    <row r="486" spans="4:4">
      <c r="D486" s="16"/>
    </row>
    <row r="487" spans="4:4">
      <c r="D487" s="16"/>
    </row>
    <row r="488" spans="4:4">
      <c r="D488" s="16"/>
    </row>
    <row r="489" spans="4:4">
      <c r="D489" s="16"/>
    </row>
    <row r="490" spans="4:4">
      <c r="D490" s="16"/>
    </row>
    <row r="491" spans="4:4">
      <c r="D491" s="16"/>
    </row>
    <row r="492" spans="4:4">
      <c r="D492" s="16"/>
    </row>
    <row r="493" spans="4:4">
      <c r="D493" s="16"/>
    </row>
    <row r="494" spans="4:4">
      <c r="D494" s="16"/>
    </row>
    <row r="495" spans="4:4">
      <c r="D495" s="16"/>
    </row>
    <row r="496" spans="4:4">
      <c r="D496" s="16"/>
    </row>
    <row r="497" spans="4:4">
      <c r="D497" s="16"/>
    </row>
    <row r="498" spans="4:4">
      <c r="D498" s="16"/>
    </row>
    <row r="499" spans="4:4">
      <c r="D499" s="16"/>
    </row>
    <row r="500" spans="4:4">
      <c r="D500" s="16"/>
    </row>
    <row r="501" spans="4:4">
      <c r="D501" s="16"/>
    </row>
    <row r="502" spans="4:4">
      <c r="D502" s="16"/>
    </row>
    <row r="503" spans="4:4">
      <c r="D503" s="16"/>
    </row>
    <row r="504" spans="4:4">
      <c r="D504" s="16"/>
    </row>
    <row r="505" spans="4:4">
      <c r="D505" s="16"/>
    </row>
    <row r="506" spans="4:4">
      <c r="D506" s="16"/>
    </row>
    <row r="507" spans="4:4">
      <c r="D507" s="16"/>
    </row>
    <row r="508" spans="4:4">
      <c r="D508" s="16"/>
    </row>
    <row r="509" spans="4:4">
      <c r="D509" s="16"/>
    </row>
    <row r="510" spans="4:4">
      <c r="D510" s="16"/>
    </row>
    <row r="511" spans="4:4">
      <c r="D511" s="16"/>
    </row>
    <row r="512" spans="4:4">
      <c r="D512" s="16"/>
    </row>
    <row r="513" spans="4:4">
      <c r="D513" s="16"/>
    </row>
  </sheetData>
  <conditionalFormatting sqref="D14:I500">
    <cfRule type="expression" dxfId="8" priority="1">
      <formula>$D14&lt;&gt;""</formula>
    </cfRule>
  </conditionalFormatting>
  <dataValidations count="5">
    <dataValidation type="list" allowBlank="1" showInputMessage="1" showErrorMessage="1" sqref="F4" xr:uid="{00000000-0002-0000-0300-000000000000}">
      <formula1>$IX$5:$IX$11</formula1>
    </dataValidation>
    <dataValidation type="list" allowBlank="1" showInputMessage="1" showErrorMessage="1" sqref="F7" xr:uid="{00000000-0002-0000-0300-000001000000}">
      <formula1>$JA$5:$JA$18</formula1>
    </dataValidation>
    <dataValidation type="list" allowBlank="1" showInputMessage="1" showErrorMessage="1" sqref="F9" xr:uid="{00000000-0002-0000-0300-000002000000}">
      <formula1>$JD$5:$JD$8</formula1>
    </dataValidation>
    <dataValidation type="list" allowBlank="1" showInputMessage="1" showErrorMessage="1" sqref="F8" xr:uid="{00000000-0002-0000-0300-000003000000}">
      <formula1>$JC$5:$JC$8</formula1>
    </dataValidation>
    <dataValidation type="list" allowBlank="1" showInputMessage="1" showErrorMessage="1" sqref="F10" xr:uid="{00000000-0002-0000-0300-000004000000}">
      <formula1>$JE$5:$JE$6</formula1>
    </dataValidation>
  </dataValidations>
  <pageMargins left="0.7" right="0.7" top="0.75" bottom="0.75" header="0.3" footer="0.3"/>
  <pageSetup orientation="portrait" r:id="rId1"/>
  <headerFooter>
    <oddFooter>&amp;L&amp;1#&amp;"Calibri"&amp;8&amp;K000000Sensitivity: Confidential</oddFooter>
  </headerFooter>
  <customProperties>
    <customPr name="REFI_OFFICE_FUNCTION_DATA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autoPageBreaks="0"/>
  </sheetPr>
  <dimension ref="A1:BB500"/>
  <sheetViews>
    <sheetView showGridLines="0" tabSelected="1" zoomScaleNormal="100" workbookViewId="0">
      <selection activeCell="B3" sqref="B3"/>
    </sheetView>
  </sheetViews>
  <sheetFormatPr defaultColWidth="9" defaultRowHeight="14.4"/>
  <cols>
    <col min="1" max="1" width="37.19921875" style="45" customWidth="1"/>
    <col min="2" max="2" width="16" style="45" customWidth="1"/>
    <col min="3" max="3" width="31.09765625" style="45" customWidth="1"/>
    <col min="4" max="4" width="35.19921875" style="45" customWidth="1"/>
    <col min="5" max="5" width="11.8984375" style="45" bestFit="1" customWidth="1"/>
    <col min="6" max="16384" width="9" style="45"/>
  </cols>
  <sheetData>
    <row r="1" spans="1:54" s="43" customFormat="1" ht="33" customHeight="1" thickBot="1">
      <c r="A1" s="41"/>
      <c r="B1" s="41"/>
      <c r="C1" s="59" t="s">
        <v>2332</v>
      </c>
      <c r="D1" s="42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54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</row>
    <row r="3" spans="1:54">
      <c r="A3" s="46" t="s">
        <v>75</v>
      </c>
      <c r="B3" s="46" t="s">
        <v>76</v>
      </c>
      <c r="C3" s="46" t="s">
        <v>77</v>
      </c>
      <c r="D3" s="46" t="s">
        <v>78</v>
      </c>
      <c r="E3" s="46" t="s">
        <v>79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</row>
    <row r="4" spans="1:54">
      <c r="A4" s="47" t="s">
        <v>80</v>
      </c>
      <c r="B4" s="47"/>
      <c r="C4" s="47"/>
      <c r="D4" s="47"/>
      <c r="E4" s="47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</row>
    <row r="5" spans="1:54">
      <c r="A5" s="47" t="s">
        <v>81</v>
      </c>
      <c r="B5" s="47"/>
      <c r="C5" s="47"/>
      <c r="D5" s="47"/>
      <c r="E5" s="47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</row>
    <row r="6" spans="1:54">
      <c r="A6" s="47" t="s">
        <v>82</v>
      </c>
      <c r="B6" s="47"/>
      <c r="C6" s="47"/>
      <c r="D6" s="47"/>
      <c r="E6" s="47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</row>
    <row r="7" spans="1:54">
      <c r="A7" s="47" t="s">
        <v>83</v>
      </c>
      <c r="B7" s="47"/>
      <c r="C7" s="47"/>
      <c r="D7" s="47"/>
      <c r="E7" s="47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</row>
    <row r="8" spans="1:54">
      <c r="A8" s="47" t="s">
        <v>84</v>
      </c>
      <c r="B8" s="47"/>
      <c r="C8" s="47"/>
      <c r="D8" s="47"/>
      <c r="E8" s="47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</row>
    <row r="9" spans="1:54">
      <c r="A9" s="47" t="s">
        <v>85</v>
      </c>
      <c r="B9" s="47"/>
      <c r="C9" s="47"/>
      <c r="D9" s="47"/>
      <c r="E9" s="47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</row>
    <row r="10" spans="1:54">
      <c r="A10" s="47" t="s">
        <v>86</v>
      </c>
      <c r="B10" s="47"/>
      <c r="C10" s="47"/>
      <c r="D10" s="47"/>
      <c r="E10" s="47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</row>
    <row r="11" spans="1:54">
      <c r="A11" s="47" t="s">
        <v>87</v>
      </c>
      <c r="B11" s="47"/>
      <c r="C11" s="47"/>
      <c r="D11" s="47"/>
      <c r="E11" s="47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</row>
    <row r="12" spans="1:54">
      <c r="A12" s="47" t="s">
        <v>88</v>
      </c>
      <c r="B12" s="47"/>
      <c r="C12" s="47"/>
      <c r="D12" s="47"/>
      <c r="E12" s="47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</row>
    <row r="13" spans="1:54">
      <c r="A13" s="47" t="s">
        <v>89</v>
      </c>
      <c r="B13" s="47"/>
      <c r="C13" s="47"/>
      <c r="D13" s="47"/>
      <c r="E13" s="47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54">
      <c r="A14" s="47" t="s">
        <v>90</v>
      </c>
      <c r="B14" s="47"/>
      <c r="C14" s="47"/>
      <c r="D14" s="47"/>
      <c r="E14" s="47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</row>
    <row r="15" spans="1:54">
      <c r="A15" s="47" t="s">
        <v>91</v>
      </c>
      <c r="B15" s="47"/>
      <c r="C15" s="47"/>
      <c r="D15" s="47"/>
      <c r="E15" s="47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</row>
    <row r="16" spans="1:54">
      <c r="A16" s="47" t="s">
        <v>92</v>
      </c>
      <c r="B16" s="47"/>
      <c r="C16" s="47"/>
      <c r="D16" s="47"/>
      <c r="E16" s="47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</row>
    <row r="17" spans="1:54">
      <c r="A17" s="47" t="s">
        <v>93</v>
      </c>
      <c r="B17" s="47"/>
      <c r="C17" s="47"/>
      <c r="D17" s="47"/>
      <c r="E17" s="47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</row>
    <row r="18" spans="1:54">
      <c r="A18" s="47" t="s">
        <v>94</v>
      </c>
      <c r="B18" s="47"/>
      <c r="C18" s="47"/>
      <c r="D18" s="47"/>
      <c r="E18" s="47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</row>
    <row r="19" spans="1:54">
      <c r="A19" s="47" t="s">
        <v>95</v>
      </c>
      <c r="B19" s="47"/>
      <c r="C19" s="47"/>
      <c r="D19" s="47"/>
      <c r="E19" s="47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</row>
    <row r="20" spans="1:54">
      <c r="A20" s="47" t="s">
        <v>96</v>
      </c>
      <c r="B20" s="47"/>
      <c r="C20" s="47"/>
      <c r="D20" s="47"/>
      <c r="E20" s="47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</row>
    <row r="21" spans="1:54">
      <c r="A21" s="47" t="s">
        <v>97</v>
      </c>
      <c r="B21" s="47"/>
      <c r="C21" s="47"/>
      <c r="D21" s="47"/>
      <c r="E21" s="47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</row>
    <row r="22" spans="1:54">
      <c r="A22" s="47" t="s">
        <v>98</v>
      </c>
      <c r="B22" s="47"/>
      <c r="C22" s="47"/>
      <c r="D22" s="47"/>
      <c r="E22" s="47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</row>
    <row r="23" spans="1:54">
      <c r="A23" s="47" t="s">
        <v>99</v>
      </c>
      <c r="B23" s="47"/>
      <c r="C23" s="47"/>
      <c r="D23" s="47"/>
      <c r="E23" s="47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</row>
    <row r="24" spans="1:54">
      <c r="A24" s="47" t="s">
        <v>100</v>
      </c>
      <c r="B24" s="47"/>
      <c r="C24" s="47"/>
      <c r="D24" s="47"/>
      <c r="E24" s="47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</row>
    <row r="25" spans="1:54">
      <c r="A25" s="47" t="s">
        <v>101</v>
      </c>
      <c r="B25" s="47"/>
      <c r="C25" s="47"/>
      <c r="D25" s="47"/>
      <c r="E25" s="47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</row>
    <row r="26" spans="1:54">
      <c r="A26" s="47" t="s">
        <v>102</v>
      </c>
      <c r="B26" s="47"/>
      <c r="C26" s="47"/>
      <c r="D26" s="47"/>
      <c r="E26" s="47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</row>
    <row r="27" spans="1:54">
      <c r="A27" s="47" t="s">
        <v>103</v>
      </c>
      <c r="B27" s="47"/>
      <c r="C27" s="47"/>
      <c r="D27" s="47"/>
      <c r="E27" s="47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</row>
    <row r="28" spans="1:54">
      <c r="A28" s="47" t="s">
        <v>104</v>
      </c>
      <c r="B28" s="47"/>
      <c r="C28" s="47"/>
      <c r="D28" s="47"/>
      <c r="E28" s="47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</row>
    <row r="29" spans="1:54">
      <c r="A29" s="47" t="s">
        <v>105</v>
      </c>
      <c r="B29" s="47"/>
      <c r="C29" s="47"/>
      <c r="D29" s="47"/>
      <c r="E29" s="47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</row>
    <row r="30" spans="1:54">
      <c r="A30" s="47" t="s">
        <v>106</v>
      </c>
      <c r="B30" s="47"/>
      <c r="C30" s="47"/>
      <c r="D30" s="47"/>
      <c r="E30" s="47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</row>
    <row r="31" spans="1:54">
      <c r="A31" s="47" t="s">
        <v>107</v>
      </c>
      <c r="B31" s="47"/>
      <c r="C31" s="47"/>
      <c r="D31" s="47"/>
      <c r="E31" s="47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</row>
    <row r="32" spans="1:54">
      <c r="A32" s="47" t="s">
        <v>108</v>
      </c>
      <c r="B32" s="47"/>
      <c r="C32" s="47"/>
      <c r="D32" s="47"/>
      <c r="E32" s="47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</row>
    <row r="33" spans="1:54">
      <c r="A33" s="47" t="s">
        <v>109</v>
      </c>
      <c r="B33" s="47"/>
      <c r="C33" s="47"/>
      <c r="D33" s="47"/>
      <c r="E33" s="47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</row>
    <row r="34" spans="1:54">
      <c r="A34" s="47" t="s">
        <v>110</v>
      </c>
      <c r="B34" s="47"/>
      <c r="C34" s="47"/>
      <c r="D34" s="47"/>
      <c r="E34" s="47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</row>
    <row r="35" spans="1:54">
      <c r="A35" s="47" t="s">
        <v>111</v>
      </c>
      <c r="B35" s="47"/>
      <c r="C35" s="47"/>
      <c r="D35" s="47"/>
      <c r="E35" s="47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</row>
    <row r="36" spans="1:54">
      <c r="A36" s="47" t="s">
        <v>112</v>
      </c>
      <c r="B36" s="47"/>
      <c r="C36" s="47"/>
      <c r="D36" s="47"/>
      <c r="E36" s="47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</row>
    <row r="37" spans="1:54">
      <c r="A37" s="47" t="s">
        <v>113</v>
      </c>
      <c r="B37" s="47"/>
      <c r="C37" s="47"/>
      <c r="D37" s="47"/>
      <c r="E37" s="47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</row>
    <row r="38" spans="1:54">
      <c r="A38" s="47" t="s">
        <v>114</v>
      </c>
      <c r="B38" s="47"/>
      <c r="C38" s="47"/>
      <c r="D38" s="47"/>
      <c r="E38" s="47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</row>
    <row r="39" spans="1:54">
      <c r="A39" s="47" t="s">
        <v>57</v>
      </c>
      <c r="B39" s="47"/>
      <c r="C39" s="47"/>
      <c r="D39" s="47"/>
      <c r="E39" s="47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</row>
    <row r="40" spans="1:54">
      <c r="A40" s="48"/>
      <c r="B40" s="48"/>
      <c r="C40" s="48"/>
      <c r="D40" s="48"/>
      <c r="E40" s="48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</row>
    <row r="41" spans="1:54">
      <c r="A41" s="48"/>
      <c r="B41" s="48"/>
      <c r="C41" s="48"/>
      <c r="D41" s="48"/>
      <c r="E41" s="48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</row>
    <row r="42" spans="1:54">
      <c r="A42" s="48"/>
      <c r="B42" s="48"/>
      <c r="C42" s="48"/>
      <c r="D42" s="48"/>
      <c r="E42" s="48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</row>
    <row r="43" spans="1:54">
      <c r="A43" s="48"/>
      <c r="B43" s="48"/>
      <c r="C43" s="48"/>
      <c r="D43" s="48"/>
      <c r="E43" s="48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</row>
    <row r="44" spans="1:54">
      <c r="A44" s="48"/>
      <c r="B44" s="48"/>
      <c r="C44" s="48"/>
      <c r="D44" s="48"/>
      <c r="E44" s="48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</row>
    <row r="45" spans="1:54">
      <c r="A45" s="48"/>
      <c r="B45" s="48"/>
      <c r="C45" s="48"/>
      <c r="D45" s="48"/>
      <c r="E45" s="48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</row>
    <row r="46" spans="1:54">
      <c r="A46" s="48"/>
      <c r="B46" s="48"/>
      <c r="C46" s="48"/>
      <c r="D46" s="48"/>
      <c r="E46" s="48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</row>
    <row r="47" spans="1:54">
      <c r="A47" s="48"/>
      <c r="B47" s="48"/>
      <c r="C47" s="48"/>
      <c r="D47" s="48"/>
      <c r="E47" s="48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</row>
    <row r="48" spans="1:54">
      <c r="A48" s="48"/>
      <c r="B48" s="48"/>
      <c r="C48" s="48"/>
      <c r="D48" s="48"/>
      <c r="E48" s="48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</row>
    <row r="49" spans="1:54">
      <c r="A49" s="48"/>
      <c r="B49" s="48"/>
      <c r="C49" s="48"/>
      <c r="D49" s="48"/>
      <c r="E49" s="4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</row>
    <row r="50" spans="1:54">
      <c r="A50" s="48"/>
      <c r="B50" s="48"/>
      <c r="C50" s="48"/>
      <c r="D50" s="48"/>
      <c r="E50" s="48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</row>
    <row r="51" spans="1:54">
      <c r="A51" s="48"/>
      <c r="B51" s="48"/>
      <c r="C51" s="48"/>
      <c r="D51" s="48"/>
      <c r="E51" s="48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</row>
    <row r="52" spans="1:54">
      <c r="A52" s="48"/>
      <c r="B52" s="48"/>
      <c r="C52" s="48"/>
      <c r="D52" s="48"/>
      <c r="E52" s="48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</row>
    <row r="53" spans="1:54">
      <c r="A53" s="48"/>
      <c r="B53" s="48"/>
      <c r="C53" s="48"/>
      <c r="D53" s="48"/>
      <c r="E53" s="48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</row>
    <row r="54" spans="1:54">
      <c r="A54" s="48"/>
      <c r="B54" s="48"/>
      <c r="C54" s="48"/>
      <c r="D54" s="48"/>
      <c r="E54" s="48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</row>
    <row r="55" spans="1:54">
      <c r="A55" s="48"/>
      <c r="B55" s="48"/>
      <c r="C55" s="48"/>
      <c r="D55" s="48"/>
      <c r="E55" s="48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</row>
    <row r="56" spans="1:54">
      <c r="A56" s="48"/>
      <c r="B56" s="48"/>
      <c r="C56" s="48"/>
      <c r="D56" s="48"/>
      <c r="E56" s="48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</row>
    <row r="57" spans="1:54">
      <c r="A57" s="48"/>
      <c r="B57" s="48"/>
      <c r="C57" s="48"/>
      <c r="D57" s="48"/>
      <c r="E57" s="48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</row>
    <row r="58" spans="1:54">
      <c r="A58" s="48"/>
      <c r="B58" s="48"/>
      <c r="C58" s="48"/>
      <c r="D58" s="48"/>
      <c r="E58" s="48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</row>
    <row r="59" spans="1:54">
      <c r="A59" s="48"/>
      <c r="B59" s="48"/>
      <c r="C59" s="48"/>
      <c r="D59" s="48"/>
      <c r="E59" s="48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</row>
    <row r="60" spans="1:54">
      <c r="A60" s="48"/>
      <c r="B60" s="48"/>
      <c r="C60" s="48"/>
      <c r="D60" s="48"/>
      <c r="E60" s="48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</row>
    <row r="61" spans="1:54">
      <c r="A61" s="48"/>
      <c r="B61" s="48"/>
      <c r="C61" s="48"/>
      <c r="D61" s="48"/>
      <c r="E61" s="48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</row>
    <row r="62" spans="1:54">
      <c r="A62" s="48"/>
      <c r="B62" s="48"/>
      <c r="C62" s="48"/>
      <c r="D62" s="48"/>
      <c r="E62" s="48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</row>
    <row r="63" spans="1:54">
      <c r="A63" s="48"/>
      <c r="B63" s="48"/>
      <c r="C63" s="48"/>
      <c r="D63" s="48"/>
      <c r="E63" s="48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</row>
    <row r="64" spans="1:54">
      <c r="A64" s="48"/>
      <c r="B64" s="48"/>
      <c r="C64" s="48"/>
      <c r="D64" s="48"/>
      <c r="E64" s="48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</row>
    <row r="65" spans="1:54">
      <c r="A65" s="48"/>
      <c r="B65" s="48"/>
      <c r="C65" s="48"/>
      <c r="D65" s="48"/>
      <c r="E65" s="48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</row>
    <row r="66" spans="1:54">
      <c r="A66" s="48"/>
      <c r="B66" s="48"/>
      <c r="C66" s="48"/>
      <c r="D66" s="48"/>
      <c r="E66" s="48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</row>
    <row r="67" spans="1:54">
      <c r="A67" s="48"/>
      <c r="B67" s="48"/>
      <c r="C67" s="48"/>
      <c r="D67" s="48"/>
      <c r="E67" s="48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</row>
    <row r="68" spans="1:54">
      <c r="A68" s="48"/>
      <c r="B68" s="48"/>
      <c r="C68" s="48"/>
      <c r="D68" s="48"/>
      <c r="E68" s="48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</row>
    <row r="69" spans="1:54">
      <c r="A69" s="48"/>
      <c r="B69" s="48"/>
      <c r="C69" s="48"/>
      <c r="D69" s="48"/>
      <c r="E69" s="48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</row>
    <row r="70" spans="1:54">
      <c r="A70" s="48"/>
      <c r="B70" s="48"/>
      <c r="C70" s="48"/>
      <c r="D70" s="48"/>
      <c r="E70" s="48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</row>
    <row r="71" spans="1:54">
      <c r="A71" s="48"/>
      <c r="B71" s="48"/>
      <c r="C71" s="48"/>
      <c r="D71" s="48"/>
      <c r="E71" s="48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</row>
    <row r="72" spans="1:54">
      <c r="A72" s="48"/>
      <c r="B72" s="48"/>
      <c r="C72" s="48"/>
      <c r="D72" s="48"/>
      <c r="E72" s="48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</row>
    <row r="73" spans="1:54">
      <c r="A73" s="48"/>
      <c r="B73" s="48"/>
      <c r="C73" s="48"/>
      <c r="D73" s="48"/>
      <c r="E73" s="48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</row>
    <row r="74" spans="1:54">
      <c r="A74" s="48"/>
      <c r="B74" s="48"/>
      <c r="C74" s="48"/>
      <c r="D74" s="48"/>
      <c r="E74" s="48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</row>
    <row r="75" spans="1:54">
      <c r="A75" s="48"/>
      <c r="B75" s="48"/>
      <c r="C75" s="48"/>
      <c r="D75" s="48"/>
      <c r="E75" s="48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</row>
    <row r="76" spans="1:54">
      <c r="A76" s="48"/>
      <c r="B76" s="48"/>
      <c r="C76" s="48"/>
      <c r="D76" s="48"/>
      <c r="E76" s="48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</row>
    <row r="77" spans="1:54">
      <c r="A77" s="48"/>
      <c r="B77" s="48"/>
      <c r="C77" s="48"/>
      <c r="D77" s="48"/>
      <c r="E77" s="48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</row>
    <row r="78" spans="1:54">
      <c r="A78" s="48"/>
      <c r="B78" s="48"/>
      <c r="C78" s="48"/>
      <c r="D78" s="48"/>
      <c r="E78" s="48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</row>
    <row r="79" spans="1:54">
      <c r="A79" s="48"/>
      <c r="B79" s="48"/>
      <c r="C79" s="48"/>
      <c r="D79" s="48"/>
      <c r="E79" s="48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</row>
    <row r="80" spans="1:54">
      <c r="A80" s="48"/>
      <c r="B80" s="48"/>
      <c r="C80" s="48"/>
      <c r="D80" s="48"/>
      <c r="E80" s="48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</row>
    <row r="81" spans="1:54">
      <c r="A81" s="48"/>
      <c r="B81" s="48"/>
      <c r="C81" s="48"/>
      <c r="D81" s="48"/>
      <c r="E81" s="48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</row>
    <row r="82" spans="1:54">
      <c r="A82" s="48"/>
      <c r="B82" s="48"/>
      <c r="C82" s="48"/>
      <c r="D82" s="48"/>
      <c r="E82" s="48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</row>
    <row r="83" spans="1:54">
      <c r="A83" s="48"/>
      <c r="B83" s="48"/>
      <c r="C83" s="48"/>
      <c r="D83" s="48"/>
      <c r="E83" s="48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</row>
    <row r="84" spans="1:54">
      <c r="A84" s="48"/>
      <c r="B84" s="48"/>
      <c r="C84" s="48"/>
      <c r="D84" s="48"/>
      <c r="E84" s="48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</row>
    <row r="85" spans="1:54">
      <c r="A85" s="48"/>
      <c r="B85" s="48"/>
      <c r="C85" s="48"/>
      <c r="D85" s="48"/>
      <c r="E85" s="48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</row>
    <row r="86" spans="1:54">
      <c r="A86" s="48"/>
      <c r="B86" s="48"/>
      <c r="C86" s="48"/>
      <c r="D86" s="48"/>
      <c r="E86" s="48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</row>
    <row r="87" spans="1:54">
      <c r="A87" s="48"/>
      <c r="B87" s="48"/>
      <c r="C87" s="48"/>
      <c r="D87" s="48"/>
      <c r="E87" s="48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</row>
    <row r="88" spans="1:54">
      <c r="A88" s="48"/>
      <c r="B88" s="48"/>
      <c r="C88" s="48"/>
      <c r="D88" s="48"/>
      <c r="E88" s="48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</row>
    <row r="89" spans="1:54">
      <c r="A89" s="48"/>
      <c r="B89" s="48"/>
      <c r="C89" s="48"/>
      <c r="D89" s="48"/>
      <c r="E89" s="48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</row>
    <row r="90" spans="1:54">
      <c r="A90" s="48"/>
      <c r="B90" s="48"/>
      <c r="C90" s="48"/>
      <c r="D90" s="48"/>
      <c r="E90" s="48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</row>
    <row r="91" spans="1:54">
      <c r="A91" s="48"/>
      <c r="B91" s="48"/>
      <c r="C91" s="48"/>
      <c r="D91" s="48"/>
      <c r="E91" s="48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</row>
    <row r="92" spans="1:54">
      <c r="A92" s="48"/>
      <c r="B92" s="48"/>
      <c r="C92" s="48"/>
      <c r="D92" s="48"/>
      <c r="E92" s="48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</row>
    <row r="93" spans="1:54">
      <c r="A93" s="48"/>
      <c r="B93" s="48"/>
      <c r="C93" s="48"/>
      <c r="D93" s="48"/>
      <c r="E93" s="48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</row>
    <row r="94" spans="1:54">
      <c r="A94" s="48"/>
      <c r="B94" s="48"/>
      <c r="C94" s="48"/>
      <c r="D94" s="48"/>
      <c r="E94" s="48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</row>
    <row r="95" spans="1:54">
      <c r="A95" s="48"/>
      <c r="B95" s="48"/>
      <c r="C95" s="48"/>
      <c r="D95" s="48"/>
      <c r="E95" s="48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</row>
    <row r="96" spans="1:54">
      <c r="A96" s="48"/>
      <c r="B96" s="48"/>
      <c r="C96" s="48"/>
      <c r="D96" s="48"/>
      <c r="E96" s="48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</row>
    <row r="97" spans="1:54">
      <c r="A97" s="48"/>
      <c r="B97" s="48"/>
      <c r="C97" s="48"/>
      <c r="D97" s="48"/>
      <c r="E97" s="48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</row>
    <row r="98" spans="1:54">
      <c r="A98" s="48"/>
      <c r="B98" s="48"/>
      <c r="C98" s="48"/>
      <c r="D98" s="48"/>
      <c r="E98" s="48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</row>
    <row r="99" spans="1:54">
      <c r="A99" s="48"/>
      <c r="B99" s="48"/>
      <c r="C99" s="48"/>
      <c r="D99" s="48"/>
      <c r="E99" s="48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</row>
    <row r="100" spans="1:54">
      <c r="A100" s="48"/>
      <c r="B100" s="48"/>
      <c r="C100" s="48"/>
      <c r="D100" s="48"/>
      <c r="E100" s="48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</row>
    <row r="101" spans="1:54">
      <c r="A101" s="48"/>
      <c r="B101" s="48"/>
      <c r="C101" s="48"/>
      <c r="D101" s="48"/>
      <c r="E101" s="48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</row>
    <row r="102" spans="1:54">
      <c r="A102" s="48"/>
      <c r="B102" s="48"/>
      <c r="C102" s="48"/>
      <c r="D102" s="48"/>
      <c r="E102" s="48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</row>
    <row r="103" spans="1:54">
      <c r="A103" s="48"/>
      <c r="B103" s="48"/>
      <c r="C103" s="48"/>
      <c r="D103" s="48"/>
      <c r="E103" s="48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</row>
    <row r="104" spans="1:54">
      <c r="A104" s="48"/>
      <c r="B104" s="48"/>
      <c r="C104" s="48"/>
      <c r="D104" s="48"/>
      <c r="E104" s="48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</row>
    <row r="105" spans="1:54">
      <c r="A105" s="48"/>
      <c r="B105" s="48"/>
      <c r="C105" s="48"/>
      <c r="D105" s="48"/>
      <c r="E105" s="48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</row>
    <row r="106" spans="1:54">
      <c r="A106" s="48"/>
      <c r="B106" s="48"/>
      <c r="C106" s="48"/>
      <c r="D106" s="48"/>
      <c r="E106" s="48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</row>
    <row r="107" spans="1:54">
      <c r="A107" s="48"/>
      <c r="B107" s="48"/>
      <c r="C107" s="48"/>
      <c r="D107" s="48"/>
      <c r="E107" s="48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</row>
    <row r="108" spans="1:54">
      <c r="A108" s="48"/>
      <c r="B108" s="48"/>
      <c r="C108" s="48"/>
      <c r="D108" s="48"/>
      <c r="E108" s="48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</row>
    <row r="109" spans="1:54">
      <c r="A109" s="48"/>
      <c r="B109" s="48"/>
      <c r="C109" s="48"/>
      <c r="D109" s="48"/>
      <c r="E109" s="48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</row>
    <row r="110" spans="1:54">
      <c r="A110" s="48"/>
      <c r="B110" s="48"/>
      <c r="C110" s="48"/>
      <c r="D110" s="48"/>
      <c r="E110" s="48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</row>
    <row r="111" spans="1:54">
      <c r="A111" s="48"/>
      <c r="B111" s="48"/>
      <c r="C111" s="48"/>
      <c r="D111" s="48"/>
      <c r="E111" s="48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</row>
    <row r="112" spans="1:54">
      <c r="A112" s="48"/>
      <c r="B112" s="48"/>
      <c r="C112" s="48"/>
      <c r="D112" s="48"/>
      <c r="E112" s="48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</row>
    <row r="113" spans="1:54">
      <c r="A113" s="48"/>
      <c r="B113" s="48"/>
      <c r="C113" s="48"/>
      <c r="D113" s="48"/>
      <c r="E113" s="48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</row>
    <row r="114" spans="1:54">
      <c r="A114" s="48"/>
      <c r="B114" s="48"/>
      <c r="C114" s="48"/>
      <c r="D114" s="48"/>
      <c r="E114" s="48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</row>
    <row r="115" spans="1:54">
      <c r="A115" s="48"/>
      <c r="B115" s="48"/>
      <c r="C115" s="48"/>
      <c r="D115" s="48"/>
      <c r="E115" s="48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</row>
    <row r="116" spans="1:54">
      <c r="A116" s="48"/>
      <c r="B116" s="48"/>
      <c r="C116" s="48"/>
      <c r="D116" s="48"/>
      <c r="E116" s="48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</row>
    <row r="117" spans="1:54">
      <c r="A117" s="48"/>
      <c r="B117" s="48"/>
      <c r="C117" s="48"/>
      <c r="D117" s="48"/>
      <c r="E117" s="48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</row>
    <row r="118" spans="1:54">
      <c r="A118" s="48"/>
      <c r="B118" s="48"/>
      <c r="C118" s="48"/>
      <c r="D118" s="48"/>
      <c r="E118" s="48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</row>
    <row r="119" spans="1:54">
      <c r="A119" s="48"/>
      <c r="B119" s="48"/>
      <c r="C119" s="48"/>
      <c r="D119" s="48"/>
      <c r="E119" s="48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</row>
    <row r="120" spans="1:54">
      <c r="A120" s="48"/>
      <c r="B120" s="48"/>
      <c r="C120" s="48"/>
      <c r="D120" s="48"/>
      <c r="E120" s="48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</row>
    <row r="121" spans="1:54">
      <c r="A121" s="48"/>
      <c r="B121" s="48"/>
      <c r="C121" s="48"/>
      <c r="D121" s="48"/>
      <c r="E121" s="48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</row>
    <row r="122" spans="1:54">
      <c r="A122" s="48"/>
      <c r="B122" s="48"/>
      <c r="C122" s="48"/>
      <c r="D122" s="48"/>
      <c r="E122" s="48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</row>
    <row r="123" spans="1:54">
      <c r="A123" s="48"/>
      <c r="B123" s="48"/>
      <c r="C123" s="48"/>
      <c r="D123" s="48"/>
      <c r="E123" s="48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</row>
    <row r="124" spans="1:54">
      <c r="A124" s="48"/>
      <c r="B124" s="48"/>
      <c r="C124" s="48"/>
      <c r="D124" s="48"/>
      <c r="E124" s="48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</row>
    <row r="125" spans="1:54">
      <c r="A125" s="48"/>
      <c r="B125" s="48"/>
      <c r="C125" s="48"/>
      <c r="D125" s="48"/>
      <c r="E125" s="48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</row>
    <row r="126" spans="1:54">
      <c r="A126" s="48"/>
      <c r="B126" s="48"/>
      <c r="C126" s="48"/>
      <c r="D126" s="48"/>
      <c r="E126" s="48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</row>
    <row r="127" spans="1:54">
      <c r="A127" s="48"/>
      <c r="B127" s="48"/>
      <c r="C127" s="48"/>
      <c r="D127" s="48"/>
      <c r="E127" s="48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</row>
    <row r="128" spans="1:54">
      <c r="A128" s="48"/>
      <c r="B128" s="48"/>
      <c r="C128" s="48"/>
      <c r="D128" s="48"/>
      <c r="E128" s="48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</row>
    <row r="129" spans="1:54">
      <c r="A129" s="48"/>
      <c r="B129" s="48"/>
      <c r="C129" s="48"/>
      <c r="D129" s="48"/>
      <c r="E129" s="48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</row>
    <row r="130" spans="1:54">
      <c r="A130" s="48"/>
      <c r="B130" s="48"/>
      <c r="C130" s="48"/>
      <c r="D130" s="48"/>
      <c r="E130" s="48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</row>
    <row r="131" spans="1:54">
      <c r="A131" s="48"/>
      <c r="B131" s="48"/>
      <c r="C131" s="48"/>
      <c r="D131" s="48"/>
      <c r="E131" s="48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</row>
    <row r="132" spans="1:54">
      <c r="A132" s="48"/>
      <c r="B132" s="48"/>
      <c r="C132" s="48"/>
      <c r="D132" s="48"/>
      <c r="E132" s="48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</row>
    <row r="133" spans="1:54">
      <c r="A133" s="48"/>
      <c r="B133" s="48"/>
      <c r="C133" s="48"/>
      <c r="D133" s="48"/>
      <c r="E133" s="48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</row>
    <row r="134" spans="1:54">
      <c r="A134" s="48"/>
      <c r="B134" s="48"/>
      <c r="C134" s="48"/>
      <c r="D134" s="48"/>
      <c r="E134" s="48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</row>
    <row r="135" spans="1:54">
      <c r="A135" s="48"/>
      <c r="B135" s="48"/>
      <c r="C135" s="48"/>
      <c r="D135" s="48"/>
      <c r="E135" s="48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</row>
    <row r="136" spans="1:54">
      <c r="A136" s="48"/>
      <c r="B136" s="48"/>
      <c r="C136" s="48"/>
      <c r="D136" s="48"/>
      <c r="E136" s="48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</row>
    <row r="137" spans="1:54">
      <c r="A137" s="48"/>
      <c r="B137" s="48"/>
      <c r="C137" s="48"/>
      <c r="D137" s="48"/>
      <c r="E137" s="48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</row>
    <row r="138" spans="1:54">
      <c r="A138" s="48"/>
      <c r="B138" s="48"/>
      <c r="C138" s="48"/>
      <c r="D138" s="48"/>
      <c r="E138" s="48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</row>
    <row r="139" spans="1:54">
      <c r="A139" s="48"/>
      <c r="B139" s="48"/>
      <c r="C139" s="48"/>
      <c r="D139" s="48"/>
      <c r="E139" s="48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</row>
    <row r="140" spans="1:54">
      <c r="A140" s="48"/>
      <c r="B140" s="48"/>
      <c r="C140" s="48"/>
      <c r="D140" s="48"/>
      <c r="E140" s="48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</row>
    <row r="141" spans="1:54">
      <c r="A141" s="48"/>
      <c r="B141" s="48"/>
      <c r="C141" s="48"/>
      <c r="D141" s="48"/>
      <c r="E141" s="48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</row>
    <row r="142" spans="1:54">
      <c r="A142" s="48"/>
      <c r="B142" s="48"/>
      <c r="C142" s="48"/>
      <c r="D142" s="48"/>
      <c r="E142" s="48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</row>
    <row r="143" spans="1:54">
      <c r="A143" s="48"/>
      <c r="B143" s="48"/>
      <c r="C143" s="48"/>
      <c r="D143" s="48"/>
      <c r="E143" s="48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</row>
    <row r="144" spans="1:54">
      <c r="A144" s="48"/>
      <c r="B144" s="48"/>
      <c r="C144" s="48"/>
      <c r="D144" s="48"/>
      <c r="E144" s="48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</row>
    <row r="145" spans="1:54">
      <c r="A145" s="48"/>
      <c r="B145" s="48"/>
      <c r="C145" s="48"/>
      <c r="D145" s="48"/>
      <c r="E145" s="48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</row>
    <row r="146" spans="1:54">
      <c r="A146" s="48"/>
      <c r="B146" s="48"/>
      <c r="C146" s="48"/>
      <c r="D146" s="48"/>
      <c r="E146" s="48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</row>
    <row r="147" spans="1:54">
      <c r="A147" s="48"/>
      <c r="B147" s="48"/>
      <c r="C147" s="48"/>
      <c r="D147" s="48"/>
      <c r="E147" s="48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</row>
    <row r="148" spans="1:54">
      <c r="A148" s="48"/>
      <c r="B148" s="48"/>
      <c r="C148" s="48"/>
      <c r="D148" s="48"/>
      <c r="E148" s="48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</row>
    <row r="149" spans="1:54">
      <c r="A149" s="48"/>
      <c r="B149" s="48"/>
      <c r="C149" s="48"/>
      <c r="D149" s="48"/>
      <c r="E149" s="48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</row>
    <row r="150" spans="1:54">
      <c r="A150" s="48"/>
      <c r="B150" s="48"/>
      <c r="C150" s="48"/>
      <c r="D150" s="48"/>
      <c r="E150" s="48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</row>
    <row r="151" spans="1:54">
      <c r="A151" s="48"/>
      <c r="B151" s="48"/>
      <c r="C151" s="48"/>
      <c r="D151" s="48"/>
      <c r="E151" s="48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</row>
    <row r="152" spans="1:54">
      <c r="A152" s="48"/>
      <c r="B152" s="48"/>
      <c r="C152" s="48"/>
      <c r="D152" s="48"/>
      <c r="E152" s="48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</row>
    <row r="153" spans="1:54">
      <c r="A153" s="48"/>
      <c r="B153" s="48"/>
      <c r="C153" s="48"/>
      <c r="D153" s="48"/>
      <c r="E153" s="48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</row>
    <row r="154" spans="1:54">
      <c r="A154" s="48"/>
      <c r="B154" s="48"/>
      <c r="C154" s="48"/>
      <c r="D154" s="48"/>
      <c r="E154" s="48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</row>
    <row r="155" spans="1:54">
      <c r="A155" s="48"/>
      <c r="B155" s="48"/>
      <c r="C155" s="48"/>
      <c r="D155" s="48"/>
      <c r="E155" s="48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</row>
    <row r="156" spans="1:54">
      <c r="A156" s="48"/>
      <c r="B156" s="48"/>
      <c r="C156" s="48"/>
      <c r="D156" s="48"/>
      <c r="E156" s="48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</row>
    <row r="157" spans="1:54">
      <c r="A157" s="48"/>
      <c r="B157" s="48"/>
      <c r="C157" s="48"/>
      <c r="D157" s="48"/>
      <c r="E157" s="48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</row>
    <row r="158" spans="1:54">
      <c r="A158" s="48"/>
      <c r="B158" s="48"/>
      <c r="C158" s="48"/>
      <c r="D158" s="48"/>
      <c r="E158" s="48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</row>
    <row r="159" spans="1:54">
      <c r="A159" s="48"/>
      <c r="B159" s="48"/>
      <c r="C159" s="48"/>
      <c r="D159" s="48"/>
      <c r="E159" s="48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</row>
    <row r="160" spans="1:54">
      <c r="A160" s="48"/>
      <c r="B160" s="48"/>
      <c r="C160" s="48"/>
      <c r="D160" s="48"/>
      <c r="E160" s="48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</row>
    <row r="161" spans="1:54">
      <c r="A161" s="48"/>
      <c r="B161" s="48"/>
      <c r="C161" s="48"/>
      <c r="D161" s="48"/>
      <c r="E161" s="48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</row>
    <row r="162" spans="1:54">
      <c r="A162" s="48"/>
      <c r="B162" s="48"/>
      <c r="C162" s="48"/>
      <c r="D162" s="48"/>
      <c r="E162" s="48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</row>
    <row r="163" spans="1:54">
      <c r="A163" s="48"/>
      <c r="B163" s="48"/>
      <c r="C163" s="48"/>
      <c r="D163" s="48"/>
      <c r="E163" s="48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</row>
    <row r="164" spans="1:54">
      <c r="A164" s="48"/>
      <c r="B164" s="48"/>
      <c r="C164" s="48"/>
      <c r="D164" s="48"/>
      <c r="E164" s="48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</row>
    <row r="165" spans="1:54">
      <c r="A165" s="48"/>
      <c r="B165" s="48"/>
      <c r="C165" s="48"/>
      <c r="D165" s="48"/>
      <c r="E165" s="48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</row>
    <row r="166" spans="1:54">
      <c r="A166" s="48"/>
      <c r="B166" s="48"/>
      <c r="C166" s="48"/>
      <c r="D166" s="48"/>
      <c r="E166" s="48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</row>
    <row r="167" spans="1:54">
      <c r="A167" s="48"/>
      <c r="B167" s="48"/>
      <c r="C167" s="48"/>
      <c r="D167" s="48"/>
      <c r="E167" s="48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</row>
    <row r="168" spans="1:54">
      <c r="A168" s="48"/>
      <c r="B168" s="48"/>
      <c r="C168" s="48"/>
      <c r="D168" s="48"/>
      <c r="E168" s="48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</row>
    <row r="169" spans="1:54">
      <c r="A169" s="48"/>
      <c r="B169" s="48"/>
      <c r="C169" s="48"/>
      <c r="D169" s="48"/>
      <c r="E169" s="48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</row>
    <row r="170" spans="1:54">
      <c r="A170" s="48"/>
      <c r="B170" s="48"/>
      <c r="C170" s="48"/>
      <c r="D170" s="48"/>
      <c r="E170" s="48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</row>
    <row r="171" spans="1:54">
      <c r="A171" s="48"/>
      <c r="B171" s="48"/>
      <c r="C171" s="48"/>
      <c r="D171" s="48"/>
      <c r="E171" s="48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</row>
    <row r="172" spans="1:54">
      <c r="A172" s="48"/>
      <c r="B172" s="48"/>
      <c r="C172" s="48"/>
      <c r="D172" s="48"/>
      <c r="E172" s="48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</row>
    <row r="173" spans="1:54">
      <c r="A173" s="48"/>
      <c r="B173" s="48"/>
      <c r="C173" s="48"/>
      <c r="D173" s="48"/>
      <c r="E173" s="48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</row>
    <row r="174" spans="1:54">
      <c r="A174" s="48"/>
      <c r="B174" s="48"/>
      <c r="C174" s="48"/>
      <c r="D174" s="48"/>
      <c r="E174" s="48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</row>
    <row r="175" spans="1:54">
      <c r="A175" s="48"/>
      <c r="B175" s="48"/>
      <c r="C175" s="48"/>
      <c r="D175" s="48"/>
      <c r="E175" s="48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</row>
    <row r="176" spans="1:54">
      <c r="A176" s="48"/>
      <c r="B176" s="48"/>
      <c r="C176" s="48"/>
      <c r="D176" s="48"/>
      <c r="E176" s="48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</row>
    <row r="177" spans="1:54">
      <c r="A177" s="48"/>
      <c r="B177" s="48"/>
      <c r="C177" s="48"/>
      <c r="D177" s="48"/>
      <c r="E177" s="48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</row>
    <row r="178" spans="1:54">
      <c r="A178" s="48"/>
      <c r="B178" s="48"/>
      <c r="C178" s="48"/>
      <c r="D178" s="48"/>
      <c r="E178" s="48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</row>
    <row r="179" spans="1:54">
      <c r="A179" s="48"/>
      <c r="B179" s="48"/>
      <c r="C179" s="48"/>
      <c r="D179" s="48"/>
      <c r="E179" s="48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</row>
    <row r="180" spans="1:54">
      <c r="A180" s="48"/>
      <c r="B180" s="48"/>
      <c r="C180" s="48"/>
      <c r="D180" s="48"/>
      <c r="E180" s="48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</row>
    <row r="181" spans="1:54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</row>
    <row r="182" spans="1:54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</row>
    <row r="183" spans="1:54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</row>
    <row r="184" spans="1:5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</row>
    <row r="185" spans="1:54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</row>
    <row r="186" spans="1:54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</row>
    <row r="187" spans="1:54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</row>
    <row r="188" spans="1:54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</row>
    <row r="189" spans="1:54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</row>
    <row r="190" spans="1:54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</row>
    <row r="191" spans="1:54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</row>
    <row r="192" spans="1:54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</row>
    <row r="193" spans="1:54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</row>
    <row r="194" spans="1:5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</row>
    <row r="195" spans="1:54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</row>
    <row r="196" spans="1:54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</row>
    <row r="197" spans="1:54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</row>
    <row r="198" spans="1:54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</row>
    <row r="199" spans="1:54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</row>
    <row r="200" spans="1:54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</row>
    <row r="201" spans="1:54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</row>
    <row r="202" spans="1:54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</row>
    <row r="203" spans="1:54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</row>
    <row r="204" spans="1:5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</row>
    <row r="205" spans="1:54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</row>
    <row r="206" spans="1:54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</row>
    <row r="207" spans="1:54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</row>
    <row r="208" spans="1:54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</row>
    <row r="209" spans="1:54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</row>
    <row r="210" spans="1:54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</row>
    <row r="211" spans="1:54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</row>
    <row r="212" spans="1:54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</row>
    <row r="213" spans="1:54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</row>
    <row r="214" spans="1:5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</row>
    <row r="215" spans="1:54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</row>
    <row r="216" spans="1:54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</row>
    <row r="217" spans="1:54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</row>
    <row r="218" spans="1:54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</row>
    <row r="219" spans="1:54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</row>
    <row r="220" spans="1:54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</row>
    <row r="221" spans="1:54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</row>
    <row r="222" spans="1:54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</row>
    <row r="223" spans="1:54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</row>
    <row r="224" spans="1:5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</row>
    <row r="225" spans="1:54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</row>
    <row r="226" spans="1:54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</row>
    <row r="227" spans="1:54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</row>
    <row r="228" spans="1:54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</row>
    <row r="229" spans="1:54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</row>
    <row r="230" spans="1:54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</row>
    <row r="231" spans="1:54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</row>
    <row r="232" spans="1:54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</row>
    <row r="233" spans="1:54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</row>
    <row r="234" spans="1:5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</row>
    <row r="235" spans="1:54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</row>
    <row r="236" spans="1:54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</row>
    <row r="237" spans="1:54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</row>
    <row r="238" spans="1:54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</row>
    <row r="239" spans="1:54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</row>
    <row r="240" spans="1:54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</row>
    <row r="241" spans="1:54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</row>
    <row r="242" spans="1:54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</row>
    <row r="243" spans="1:54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</row>
    <row r="244" spans="1:5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</row>
    <row r="245" spans="1:54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</row>
    <row r="246" spans="1:54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</row>
    <row r="247" spans="1:54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</row>
    <row r="248" spans="1:54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</row>
    <row r="249" spans="1:54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</row>
    <row r="250" spans="1:54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</row>
    <row r="251" spans="1:54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</row>
    <row r="252" spans="1:54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</row>
    <row r="253" spans="1:54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</row>
    <row r="254" spans="1: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</row>
    <row r="255" spans="1:54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</row>
    <row r="256" spans="1:54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</row>
    <row r="257" spans="1:54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</row>
    <row r="258" spans="1:54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</row>
    <row r="259" spans="1:54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</row>
    <row r="260" spans="1:54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</row>
    <row r="261" spans="1:54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</row>
    <row r="262" spans="1:54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</row>
    <row r="263" spans="1:54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</row>
    <row r="264" spans="1:5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</row>
    <row r="265" spans="1:54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</row>
    <row r="266" spans="1:54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</row>
    <row r="267" spans="1:54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</row>
    <row r="268" spans="1:54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</row>
    <row r="269" spans="1:54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</row>
    <row r="270" spans="1:54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</row>
    <row r="271" spans="1:54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</row>
    <row r="272" spans="1:54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</row>
    <row r="273" spans="1:54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</row>
    <row r="274" spans="1:5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</row>
    <row r="275" spans="1:54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</row>
    <row r="276" spans="1:54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</row>
    <row r="277" spans="1:54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</row>
    <row r="278" spans="1:54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</row>
    <row r="279" spans="1:54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</row>
    <row r="280" spans="1:54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</row>
    <row r="281" spans="1:54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</row>
    <row r="282" spans="1:54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</row>
    <row r="283" spans="1:54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</row>
    <row r="284" spans="1:5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</row>
    <row r="285" spans="1:54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</row>
    <row r="286" spans="1:54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</row>
    <row r="287" spans="1:54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</row>
    <row r="288" spans="1:54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</row>
    <row r="289" spans="1:54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</row>
    <row r="290" spans="1:54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</row>
    <row r="291" spans="1:54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</row>
    <row r="292" spans="1:54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</row>
    <row r="293" spans="1:54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</row>
    <row r="294" spans="1:5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</row>
    <row r="295" spans="1:54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</row>
    <row r="296" spans="1:54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</row>
    <row r="297" spans="1:54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</row>
    <row r="298" spans="1:54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</row>
    <row r="299" spans="1:54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</row>
    <row r="300" spans="1:54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</row>
    <row r="301" spans="1:54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</row>
    <row r="302" spans="1:54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</row>
    <row r="303" spans="1:54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</row>
    <row r="304" spans="1:5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</row>
    <row r="305" spans="1:54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</row>
    <row r="306" spans="1:54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</row>
    <row r="307" spans="1:54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</row>
    <row r="308" spans="1:54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</row>
    <row r="309" spans="1:54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</row>
    <row r="310" spans="1:54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</row>
    <row r="311" spans="1:54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</row>
    <row r="312" spans="1:54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</row>
    <row r="313" spans="1:54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</row>
    <row r="314" spans="1:5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</row>
    <row r="315" spans="1:54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</row>
    <row r="316" spans="1:54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</row>
    <row r="317" spans="1:54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</row>
    <row r="318" spans="1:54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</row>
    <row r="319" spans="1:54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</row>
    <row r="320" spans="1:54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</row>
    <row r="321" spans="1:54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</row>
    <row r="322" spans="1:54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</row>
    <row r="323" spans="1:54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</row>
    <row r="324" spans="1:5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</row>
    <row r="325" spans="1:54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</row>
    <row r="326" spans="1:54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</row>
    <row r="327" spans="1:54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</row>
    <row r="328" spans="1:54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</row>
    <row r="329" spans="1:54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</row>
    <row r="330" spans="1:54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</row>
    <row r="331" spans="1:54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</row>
    <row r="332" spans="1:54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</row>
    <row r="333" spans="1:54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</row>
    <row r="334" spans="1:5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</row>
    <row r="335" spans="1:54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</row>
    <row r="336" spans="1:54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</row>
    <row r="337" spans="1:54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</row>
    <row r="338" spans="1:54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</row>
    <row r="339" spans="1:54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</row>
    <row r="340" spans="1:54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</row>
    <row r="341" spans="1:54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</row>
    <row r="342" spans="1:54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</row>
    <row r="343" spans="1:54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</row>
    <row r="344" spans="1:5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</row>
    <row r="345" spans="1:54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</row>
    <row r="346" spans="1:54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</row>
    <row r="347" spans="1:54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</row>
    <row r="348" spans="1:54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</row>
    <row r="349" spans="1:54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</row>
    <row r="350" spans="1:54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</row>
    <row r="351" spans="1:54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</row>
    <row r="352" spans="1:54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</row>
    <row r="353" spans="1:54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</row>
    <row r="354" spans="1: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</row>
    <row r="355" spans="1:54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</row>
    <row r="356" spans="1:54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</row>
    <row r="357" spans="1:54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</row>
    <row r="358" spans="1:54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</row>
    <row r="359" spans="1:54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</row>
    <row r="360" spans="1:54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</row>
    <row r="361" spans="1:54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</row>
    <row r="362" spans="1:54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</row>
    <row r="363" spans="1:54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</row>
    <row r="364" spans="1:5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</row>
    <row r="365" spans="1:54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</row>
    <row r="366" spans="1:54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</row>
    <row r="367" spans="1:54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</row>
    <row r="368" spans="1:54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</row>
    <row r="369" spans="1:54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</row>
    <row r="370" spans="1:54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</row>
    <row r="371" spans="1:54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</row>
    <row r="372" spans="1:54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</row>
    <row r="373" spans="1:54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</row>
    <row r="374" spans="1:5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</row>
    <row r="375" spans="1:54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</row>
    <row r="376" spans="1:54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</row>
    <row r="377" spans="1:54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</row>
    <row r="378" spans="1:54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</row>
    <row r="379" spans="1:54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</row>
    <row r="380" spans="1:54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</row>
    <row r="381" spans="1:54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</row>
    <row r="382" spans="1:54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</row>
    <row r="383" spans="1:54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</row>
    <row r="384" spans="1:5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</row>
    <row r="385" spans="1:54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</row>
    <row r="386" spans="1:54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</row>
    <row r="387" spans="1:54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</row>
    <row r="388" spans="1:54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</row>
    <row r="389" spans="1:54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</row>
    <row r="390" spans="1:54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</row>
    <row r="391" spans="1:54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</row>
    <row r="392" spans="1:54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</row>
    <row r="393" spans="1:54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</row>
    <row r="394" spans="1:5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</row>
    <row r="395" spans="1:54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</row>
    <row r="396" spans="1:54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</row>
    <row r="397" spans="1:54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</row>
    <row r="398" spans="1:54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</row>
    <row r="399" spans="1:54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</row>
    <row r="400" spans="1:54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</row>
    <row r="401" spans="1:54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</row>
    <row r="402" spans="1:54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</row>
    <row r="403" spans="1:54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</row>
    <row r="404" spans="1:5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</row>
    <row r="405" spans="1:54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</row>
    <row r="406" spans="1:54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</row>
    <row r="407" spans="1:54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</row>
    <row r="408" spans="1:54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</row>
    <row r="409" spans="1:54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</row>
    <row r="410" spans="1:54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</row>
    <row r="411" spans="1:54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</row>
    <row r="412" spans="1:54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</row>
    <row r="413" spans="1:54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</row>
    <row r="414" spans="1:5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</row>
    <row r="415" spans="1:54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</row>
    <row r="416" spans="1:54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</row>
    <row r="417" spans="1:54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</row>
    <row r="418" spans="1:54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</row>
    <row r="419" spans="1:54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</row>
    <row r="420" spans="1:54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</row>
    <row r="421" spans="1:54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</row>
    <row r="422" spans="1:54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</row>
    <row r="423" spans="1:54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</row>
    <row r="424" spans="1:5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</row>
    <row r="425" spans="1:54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</row>
    <row r="426" spans="1:54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</row>
    <row r="427" spans="1:54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</row>
    <row r="428" spans="1:54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</row>
    <row r="429" spans="1:54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</row>
    <row r="430" spans="1:54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</row>
    <row r="431" spans="1:54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</row>
    <row r="432" spans="1:54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</row>
    <row r="433" spans="1:54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</row>
    <row r="434" spans="1:5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</row>
    <row r="435" spans="1:54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</row>
    <row r="436" spans="1:54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</row>
    <row r="437" spans="1:54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</row>
    <row r="438" spans="1:54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</row>
    <row r="439" spans="1:54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</row>
    <row r="440" spans="1:54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</row>
    <row r="441" spans="1:54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</row>
    <row r="442" spans="1:54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</row>
    <row r="443" spans="1:54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</row>
    <row r="444" spans="1:5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</row>
    <row r="445" spans="1:54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</row>
    <row r="446" spans="1:54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</row>
    <row r="447" spans="1:54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</row>
    <row r="448" spans="1:54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</row>
    <row r="449" spans="1:54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</row>
    <row r="450" spans="1:54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</row>
    <row r="451" spans="1:54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</row>
    <row r="452" spans="1:54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</row>
    <row r="453" spans="1:54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</row>
    <row r="454" spans="1: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</row>
    <row r="455" spans="1:54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</row>
    <row r="456" spans="1:54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</row>
    <row r="457" spans="1:54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</row>
    <row r="458" spans="1:54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</row>
    <row r="459" spans="1:54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</row>
    <row r="460" spans="1:54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</row>
    <row r="461" spans="1:54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</row>
    <row r="462" spans="1:54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</row>
    <row r="463" spans="1:54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</row>
    <row r="464" spans="1:5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</row>
    <row r="465" spans="1:54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</row>
    <row r="466" spans="1:54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</row>
    <row r="467" spans="1:54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</row>
    <row r="468" spans="1:54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</row>
    <row r="469" spans="1:54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</row>
    <row r="470" spans="1:54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</row>
    <row r="471" spans="1:54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</row>
    <row r="472" spans="1:54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</row>
    <row r="473" spans="1:54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</row>
    <row r="474" spans="1:5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</row>
    <row r="475" spans="1:54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</row>
    <row r="476" spans="1:54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</row>
    <row r="477" spans="1:54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</row>
    <row r="478" spans="1:54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</row>
    <row r="479" spans="1:54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</row>
    <row r="480" spans="1:54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</row>
    <row r="481" spans="1:54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</row>
    <row r="482" spans="1:54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</row>
    <row r="483" spans="1:54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</row>
    <row r="484" spans="1:5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</row>
    <row r="485" spans="1:54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</row>
    <row r="486" spans="1:54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</row>
    <row r="487" spans="1:54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</row>
    <row r="488" spans="1:54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</row>
    <row r="489" spans="1:54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</row>
    <row r="490" spans="1:54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</row>
    <row r="491" spans="1:54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</row>
    <row r="492" spans="1:54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</row>
    <row r="493" spans="1:54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</row>
    <row r="494" spans="1:5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</row>
    <row r="495" spans="1:54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</row>
    <row r="496" spans="1:54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</row>
    <row r="497" spans="1:54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</row>
    <row r="498" spans="1:54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</row>
    <row r="499" spans="1:54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</row>
    <row r="500" spans="1:54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</row>
  </sheetData>
  <pageMargins left="0.7" right="0.7" top="0.75" bottom="0.75" header="0.3" footer="0.3"/>
  <pageSetup orientation="portrait" r:id="rId2"/>
  <headerFooter>
    <oddFooter>&amp;L&amp;1#&amp;"Calibri"&amp;8&amp;K000000Sensitivity: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F1534"/>
  <sheetViews>
    <sheetView zoomScaleNormal="100" workbookViewId="0">
      <selection activeCell="E2" sqref="E2"/>
    </sheetView>
  </sheetViews>
  <sheetFormatPr defaultColWidth="9" defaultRowHeight="14.4"/>
  <cols>
    <col min="1" max="1" width="10.59765625" style="2" bestFit="1" customWidth="1"/>
    <col min="2" max="2" width="10.59765625" style="2" customWidth="1"/>
    <col min="3" max="3" width="9" style="2"/>
    <col min="4" max="5" width="63.5" style="2" bestFit="1" customWidth="1"/>
    <col min="6" max="6" width="180" style="2" bestFit="1" customWidth="1"/>
    <col min="7" max="16384" width="9" style="2"/>
  </cols>
  <sheetData>
    <row r="2" spans="1:6">
      <c r="A2" s="2" t="s">
        <v>115</v>
      </c>
      <c r="B2" s="2" t="s">
        <v>75</v>
      </c>
      <c r="C2" s="2" t="s">
        <v>77</v>
      </c>
      <c r="D2" s="2" t="s">
        <v>76</v>
      </c>
      <c r="E2" s="2" t="s">
        <v>78</v>
      </c>
      <c r="F2" s="2" t="s">
        <v>79</v>
      </c>
    </row>
    <row r="3" spans="1:6">
      <c r="A3" s="3" t="s">
        <v>80</v>
      </c>
      <c r="B3" s="3" t="s">
        <v>80</v>
      </c>
      <c r="C3" s="4" t="s">
        <v>116</v>
      </c>
      <c r="D3" s="2" t="s">
        <v>67</v>
      </c>
      <c r="E3" s="2" t="s">
        <v>117</v>
      </c>
      <c r="F3" s="2" t="s">
        <v>118</v>
      </c>
    </row>
    <row r="4" spans="1:6">
      <c r="A4" s="3" t="s">
        <v>80</v>
      </c>
      <c r="B4" s="3" t="s">
        <v>80</v>
      </c>
      <c r="C4" s="4" t="s">
        <v>119</v>
      </c>
      <c r="D4" s="2" t="s">
        <v>69</v>
      </c>
      <c r="E4" s="2" t="s">
        <v>63</v>
      </c>
      <c r="F4" s="2" t="s">
        <v>120</v>
      </c>
    </row>
    <row r="5" spans="1:6">
      <c r="A5" s="3" t="s">
        <v>80</v>
      </c>
      <c r="B5" s="3" t="s">
        <v>80</v>
      </c>
      <c r="C5" s="4" t="s">
        <v>121</v>
      </c>
      <c r="D5" s="2" t="s">
        <v>122</v>
      </c>
      <c r="E5" s="2" t="s">
        <v>123</v>
      </c>
      <c r="F5" s="2" t="s">
        <v>124</v>
      </c>
    </row>
    <row r="6" spans="1:6">
      <c r="A6" s="3" t="s">
        <v>80</v>
      </c>
      <c r="B6" s="3" t="s">
        <v>80</v>
      </c>
      <c r="C6" s="4" t="s">
        <v>125</v>
      </c>
      <c r="D6" s="2" t="s">
        <v>126</v>
      </c>
      <c r="E6" s="2" t="s">
        <v>127</v>
      </c>
      <c r="F6" s="2" t="s">
        <v>128</v>
      </c>
    </row>
    <row r="7" spans="1:6">
      <c r="A7" s="3" t="s">
        <v>80</v>
      </c>
      <c r="B7" s="3" t="s">
        <v>80</v>
      </c>
      <c r="C7" s="4" t="s">
        <v>129</v>
      </c>
      <c r="D7" s="2" t="s">
        <v>73</v>
      </c>
      <c r="E7" s="2" t="s">
        <v>130</v>
      </c>
      <c r="F7" s="2" t="s">
        <v>131</v>
      </c>
    </row>
    <row r="8" spans="1:6">
      <c r="A8" s="3" t="s">
        <v>80</v>
      </c>
      <c r="B8" s="3" t="s">
        <v>80</v>
      </c>
      <c r="C8" s="4" t="s">
        <v>132</v>
      </c>
      <c r="D8" s="2" t="s">
        <v>70</v>
      </c>
      <c r="E8" s="2" t="s">
        <v>133</v>
      </c>
      <c r="F8" s="2" t="s">
        <v>134</v>
      </c>
    </row>
    <row r="9" spans="1:6">
      <c r="A9" s="3" t="s">
        <v>80</v>
      </c>
      <c r="B9" s="3" t="s">
        <v>80</v>
      </c>
      <c r="C9" s="4" t="s">
        <v>135</v>
      </c>
      <c r="D9" s="2" t="s">
        <v>136</v>
      </c>
      <c r="E9" s="2" t="s">
        <v>137</v>
      </c>
      <c r="F9" s="2" t="s">
        <v>138</v>
      </c>
    </row>
    <row r="10" spans="1:6">
      <c r="A10" s="3" t="s">
        <v>80</v>
      </c>
      <c r="B10" s="3" t="s">
        <v>80</v>
      </c>
      <c r="C10" s="4" t="s">
        <v>139</v>
      </c>
      <c r="D10" s="2" t="s">
        <v>139</v>
      </c>
      <c r="E10" s="2" t="s">
        <v>140</v>
      </c>
      <c r="F10" s="2" t="s">
        <v>141</v>
      </c>
    </row>
    <row r="11" spans="1:6">
      <c r="A11" s="3" t="s">
        <v>80</v>
      </c>
      <c r="B11" s="3" t="s">
        <v>80</v>
      </c>
      <c r="C11" s="4" t="s">
        <v>142</v>
      </c>
      <c r="D11" s="2" t="s">
        <v>143</v>
      </c>
      <c r="E11" s="2" t="s">
        <v>144</v>
      </c>
      <c r="F11" s="2" t="s">
        <v>145</v>
      </c>
    </row>
    <row r="12" spans="1:6">
      <c r="A12" s="3" t="s">
        <v>80</v>
      </c>
      <c r="B12" s="3" t="s">
        <v>80</v>
      </c>
      <c r="C12" s="4" t="s">
        <v>146</v>
      </c>
      <c r="D12" s="2" t="s">
        <v>147</v>
      </c>
      <c r="E12" s="2" t="s">
        <v>148</v>
      </c>
      <c r="F12" s="2" t="s">
        <v>149</v>
      </c>
    </row>
    <row r="13" spans="1:6">
      <c r="A13" s="3" t="s">
        <v>80</v>
      </c>
      <c r="B13" s="3" t="s">
        <v>80</v>
      </c>
      <c r="C13" s="4" t="s">
        <v>150</v>
      </c>
      <c r="D13" s="2" t="s">
        <v>151</v>
      </c>
      <c r="E13" s="2" t="s">
        <v>152</v>
      </c>
      <c r="F13" s="2" t="s">
        <v>153</v>
      </c>
    </row>
    <row r="14" spans="1:6">
      <c r="A14" s="3" t="s">
        <v>80</v>
      </c>
      <c r="B14" s="3" t="s">
        <v>80</v>
      </c>
      <c r="C14" s="4" t="s">
        <v>154</v>
      </c>
      <c r="D14" s="2" t="s">
        <v>155</v>
      </c>
      <c r="E14" s="2" t="s">
        <v>156</v>
      </c>
      <c r="F14" s="2" t="s">
        <v>157</v>
      </c>
    </row>
    <row r="15" spans="1:6">
      <c r="A15" s="3" t="s">
        <v>80</v>
      </c>
      <c r="B15" s="3" t="s">
        <v>80</v>
      </c>
      <c r="C15" s="4" t="s">
        <v>158</v>
      </c>
      <c r="D15" s="2" t="s">
        <v>159</v>
      </c>
      <c r="E15" s="2" t="s">
        <v>160</v>
      </c>
      <c r="F15" s="2" t="s">
        <v>159</v>
      </c>
    </row>
    <row r="16" spans="1:6">
      <c r="A16" s="3" t="s">
        <v>80</v>
      </c>
      <c r="B16" s="3" t="s">
        <v>80</v>
      </c>
      <c r="C16" s="4" t="s">
        <v>161</v>
      </c>
      <c r="D16" s="2" t="s">
        <v>162</v>
      </c>
      <c r="E16" s="2" t="s">
        <v>163</v>
      </c>
      <c r="F16" s="2" t="s">
        <v>162</v>
      </c>
    </row>
    <row r="17" spans="1:6">
      <c r="A17" s="3" t="s">
        <v>80</v>
      </c>
      <c r="B17" s="3" t="s">
        <v>80</v>
      </c>
      <c r="C17" s="4" t="s">
        <v>164</v>
      </c>
      <c r="D17" s="2" t="s">
        <v>60</v>
      </c>
      <c r="E17" s="2" t="s">
        <v>165</v>
      </c>
      <c r="F17" s="2" t="s">
        <v>166</v>
      </c>
    </row>
    <row r="18" spans="1:6">
      <c r="A18" s="3" t="s">
        <v>80</v>
      </c>
      <c r="B18" s="3" t="s">
        <v>80</v>
      </c>
      <c r="C18" s="4" t="s">
        <v>167</v>
      </c>
      <c r="D18" s="2" t="s">
        <v>61</v>
      </c>
      <c r="E18" s="2" t="s">
        <v>168</v>
      </c>
      <c r="F18" s="2" t="s">
        <v>169</v>
      </c>
    </row>
    <row r="19" spans="1:6">
      <c r="A19" s="3" t="s">
        <v>80</v>
      </c>
      <c r="B19" s="3" t="s">
        <v>80</v>
      </c>
      <c r="C19" s="4" t="s">
        <v>170</v>
      </c>
      <c r="D19" s="2" t="s">
        <v>68</v>
      </c>
      <c r="E19" s="2" t="s">
        <v>171</v>
      </c>
      <c r="F19" s="2" t="s">
        <v>172</v>
      </c>
    </row>
    <row r="20" spans="1:6">
      <c r="A20" s="3" t="s">
        <v>80</v>
      </c>
      <c r="B20" s="3" t="s">
        <v>80</v>
      </c>
      <c r="C20" s="4" t="s">
        <v>173</v>
      </c>
      <c r="D20" s="2" t="s">
        <v>174</v>
      </c>
      <c r="E20" s="2" t="s">
        <v>175</v>
      </c>
      <c r="F20" s="2" t="s">
        <v>176</v>
      </c>
    </row>
    <row r="21" spans="1:6">
      <c r="A21" s="3" t="s">
        <v>80</v>
      </c>
      <c r="B21" s="3" t="s">
        <v>80</v>
      </c>
      <c r="C21" s="4" t="s">
        <v>177</v>
      </c>
      <c r="D21" s="2" t="s">
        <v>178</v>
      </c>
      <c r="E21" s="2" t="s">
        <v>179</v>
      </c>
      <c r="F21" s="2" t="s">
        <v>180</v>
      </c>
    </row>
    <row r="22" spans="1:6">
      <c r="A22" s="3" t="s">
        <v>80</v>
      </c>
      <c r="B22" s="3" t="s">
        <v>80</v>
      </c>
      <c r="C22" s="4" t="s">
        <v>181</v>
      </c>
      <c r="D22" s="2" t="s">
        <v>182</v>
      </c>
      <c r="E22" s="2" t="s">
        <v>183</v>
      </c>
      <c r="F22" s="2" t="s">
        <v>184</v>
      </c>
    </row>
    <row r="23" spans="1:6">
      <c r="A23" s="3" t="s">
        <v>80</v>
      </c>
      <c r="B23" s="3" t="s">
        <v>80</v>
      </c>
      <c r="C23" s="4" t="s">
        <v>185</v>
      </c>
      <c r="D23" s="2" t="s">
        <v>186</v>
      </c>
      <c r="E23" s="2" t="s">
        <v>187</v>
      </c>
      <c r="F23" s="2" t="s">
        <v>188</v>
      </c>
    </row>
    <row r="24" spans="1:6">
      <c r="A24" s="3" t="s">
        <v>80</v>
      </c>
      <c r="B24" s="3" t="s">
        <v>80</v>
      </c>
      <c r="C24" s="4" t="s">
        <v>189</v>
      </c>
      <c r="D24" s="2" t="s">
        <v>190</v>
      </c>
      <c r="E24" s="2" t="s">
        <v>191</v>
      </c>
      <c r="F24" s="2" t="s">
        <v>192</v>
      </c>
    </row>
    <row r="25" spans="1:6">
      <c r="A25" s="3" t="s">
        <v>80</v>
      </c>
      <c r="B25" s="3" t="s">
        <v>80</v>
      </c>
      <c r="C25" s="4" t="s">
        <v>193</v>
      </c>
      <c r="D25" s="2" t="s">
        <v>194</v>
      </c>
      <c r="E25" s="2" t="s">
        <v>195</v>
      </c>
      <c r="F25" s="2" t="s">
        <v>196</v>
      </c>
    </row>
    <row r="26" spans="1:6">
      <c r="A26" s="3" t="s">
        <v>80</v>
      </c>
      <c r="B26" s="3" t="s">
        <v>80</v>
      </c>
      <c r="C26" s="4" t="s">
        <v>197</v>
      </c>
      <c r="D26" s="2" t="s">
        <v>198</v>
      </c>
      <c r="E26" s="2" t="s">
        <v>199</v>
      </c>
      <c r="F26" s="2" t="s">
        <v>200</v>
      </c>
    </row>
    <row r="27" spans="1:6">
      <c r="A27" s="3" t="s">
        <v>80</v>
      </c>
      <c r="B27" s="3" t="s">
        <v>80</v>
      </c>
      <c r="C27" s="4" t="s">
        <v>201</v>
      </c>
      <c r="D27" s="2" t="s">
        <v>202</v>
      </c>
      <c r="E27" s="2" t="s">
        <v>203</v>
      </c>
      <c r="F27" s="2" t="s">
        <v>202</v>
      </c>
    </row>
    <row r="28" spans="1:6">
      <c r="A28" s="3" t="s">
        <v>80</v>
      </c>
      <c r="B28" s="3" t="s">
        <v>80</v>
      </c>
      <c r="C28" s="4" t="s">
        <v>204</v>
      </c>
      <c r="D28" s="2" t="s">
        <v>205</v>
      </c>
      <c r="E28" s="2" t="s">
        <v>206</v>
      </c>
      <c r="F28" s="2" t="s">
        <v>207</v>
      </c>
    </row>
    <row r="29" spans="1:6">
      <c r="A29" s="3" t="s">
        <v>80</v>
      </c>
      <c r="B29" s="3" t="s">
        <v>80</v>
      </c>
      <c r="C29" s="4" t="s">
        <v>208</v>
      </c>
      <c r="D29" s="2" t="s">
        <v>209</v>
      </c>
      <c r="E29" s="2" t="s">
        <v>210</v>
      </c>
      <c r="F29" s="2" t="s">
        <v>211</v>
      </c>
    </row>
    <row r="30" spans="1:6">
      <c r="A30" s="3" t="s">
        <v>80</v>
      </c>
      <c r="B30" s="3" t="s">
        <v>80</v>
      </c>
      <c r="C30" s="4" t="s">
        <v>212</v>
      </c>
      <c r="D30" s="2" t="s">
        <v>213</v>
      </c>
      <c r="E30" s="2" t="s">
        <v>214</v>
      </c>
      <c r="F30" s="2" t="s">
        <v>215</v>
      </c>
    </row>
    <row r="31" spans="1:6">
      <c r="A31" s="3" t="s">
        <v>80</v>
      </c>
      <c r="B31" s="3" t="s">
        <v>80</v>
      </c>
      <c r="C31" s="4" t="s">
        <v>216</v>
      </c>
      <c r="D31" s="2" t="s">
        <v>217</v>
      </c>
      <c r="E31" s="2" t="s">
        <v>218</v>
      </c>
      <c r="F31" s="2" t="s">
        <v>219</v>
      </c>
    </row>
    <row r="32" spans="1:6">
      <c r="A32" s="3" t="s">
        <v>80</v>
      </c>
      <c r="B32" s="3" t="s">
        <v>80</v>
      </c>
      <c r="C32" s="4" t="s">
        <v>220</v>
      </c>
      <c r="D32" s="2" t="s">
        <v>221</v>
      </c>
      <c r="E32" s="2" t="s">
        <v>222</v>
      </c>
      <c r="F32" s="2" t="s">
        <v>223</v>
      </c>
    </row>
    <row r="33" spans="1:6">
      <c r="A33" s="3" t="s">
        <v>80</v>
      </c>
      <c r="B33" s="3" t="s">
        <v>80</v>
      </c>
      <c r="C33" s="4" t="s">
        <v>224</v>
      </c>
      <c r="D33" s="2" t="s">
        <v>225</v>
      </c>
      <c r="E33" s="2" t="s">
        <v>226</v>
      </c>
      <c r="F33" s="2" t="s">
        <v>227</v>
      </c>
    </row>
    <row r="34" spans="1:6">
      <c r="A34" s="3" t="s">
        <v>80</v>
      </c>
      <c r="B34" s="3" t="s">
        <v>80</v>
      </c>
      <c r="C34" s="4" t="s">
        <v>228</v>
      </c>
      <c r="D34" s="2" t="s">
        <v>229</v>
      </c>
      <c r="E34" s="2" t="s">
        <v>230</v>
      </c>
      <c r="F34" s="2" t="s">
        <v>229</v>
      </c>
    </row>
    <row r="35" spans="1:6">
      <c r="A35" s="3" t="s">
        <v>80</v>
      </c>
      <c r="B35" s="3" t="s">
        <v>80</v>
      </c>
      <c r="C35" s="4" t="s">
        <v>231</v>
      </c>
      <c r="D35" s="2" t="s">
        <v>232</v>
      </c>
      <c r="E35" s="2" t="s">
        <v>233</v>
      </c>
      <c r="F35" s="2" t="s">
        <v>234</v>
      </c>
    </row>
    <row r="36" spans="1:6">
      <c r="A36" s="3" t="s">
        <v>80</v>
      </c>
      <c r="B36" s="3" t="s">
        <v>80</v>
      </c>
      <c r="C36" s="4" t="s">
        <v>235</v>
      </c>
      <c r="D36" s="2" t="s">
        <v>236</v>
      </c>
      <c r="E36" s="2" t="s">
        <v>237</v>
      </c>
      <c r="F36" s="2" t="s">
        <v>238</v>
      </c>
    </row>
    <row r="37" spans="1:6">
      <c r="A37" s="3" t="s">
        <v>80</v>
      </c>
      <c r="B37" s="3" t="s">
        <v>80</v>
      </c>
      <c r="C37" s="4" t="s">
        <v>239</v>
      </c>
      <c r="D37" s="2" t="s">
        <v>240</v>
      </c>
      <c r="E37" s="2" t="s">
        <v>241</v>
      </c>
      <c r="F37" s="2" t="s">
        <v>242</v>
      </c>
    </row>
    <row r="38" spans="1:6">
      <c r="A38" s="3" t="s">
        <v>80</v>
      </c>
      <c r="B38" s="3" t="s">
        <v>80</v>
      </c>
      <c r="C38" s="4" t="s">
        <v>243</v>
      </c>
      <c r="D38" s="2" t="s">
        <v>244</v>
      </c>
      <c r="E38" s="2" t="s">
        <v>245</v>
      </c>
      <c r="F38" s="2" t="s">
        <v>246</v>
      </c>
    </row>
    <row r="39" spans="1:6">
      <c r="A39" s="3" t="s">
        <v>80</v>
      </c>
      <c r="B39" s="3" t="s">
        <v>80</v>
      </c>
      <c r="C39" s="4" t="s">
        <v>247</v>
      </c>
      <c r="D39" s="2" t="s">
        <v>248</v>
      </c>
      <c r="E39" s="2" t="s">
        <v>249</v>
      </c>
      <c r="F39" s="2" t="s">
        <v>250</v>
      </c>
    </row>
    <row r="40" spans="1:6">
      <c r="A40" s="3" t="s">
        <v>80</v>
      </c>
      <c r="B40" s="3" t="s">
        <v>80</v>
      </c>
      <c r="C40" s="4" t="s">
        <v>251</v>
      </c>
      <c r="D40" s="2" t="s">
        <v>252</v>
      </c>
      <c r="E40" s="2" t="s">
        <v>253</v>
      </c>
      <c r="F40" s="2" t="s">
        <v>254</v>
      </c>
    </row>
    <row r="41" spans="1:6">
      <c r="A41" s="3" t="s">
        <v>80</v>
      </c>
      <c r="B41" s="3" t="s">
        <v>80</v>
      </c>
      <c r="C41" s="4" t="s">
        <v>255</v>
      </c>
      <c r="D41" s="2" t="s">
        <v>256</v>
      </c>
      <c r="E41" s="2" t="s">
        <v>257</v>
      </c>
      <c r="F41" s="2" t="s">
        <v>258</v>
      </c>
    </row>
    <row r="42" spans="1:6">
      <c r="A42" s="3" t="s">
        <v>80</v>
      </c>
      <c r="B42" s="3" t="s">
        <v>80</v>
      </c>
      <c r="C42" s="4" t="s">
        <v>259</v>
      </c>
      <c r="D42" s="2" t="s">
        <v>260</v>
      </c>
      <c r="E42" s="2" t="s">
        <v>261</v>
      </c>
      <c r="F42" s="2" t="s">
        <v>262</v>
      </c>
    </row>
    <row r="43" spans="1:6">
      <c r="A43" s="3" t="s">
        <v>80</v>
      </c>
      <c r="B43" s="3" t="s">
        <v>80</v>
      </c>
      <c r="C43" s="4" t="s">
        <v>263</v>
      </c>
      <c r="D43" s="2" t="s">
        <v>264</v>
      </c>
      <c r="E43" s="2" t="s">
        <v>265</v>
      </c>
      <c r="F43" s="2" t="s">
        <v>266</v>
      </c>
    </row>
    <row r="44" spans="1:6">
      <c r="A44" s="3" t="s">
        <v>80</v>
      </c>
      <c r="B44" s="3" t="s">
        <v>80</v>
      </c>
      <c r="C44" s="4" t="s">
        <v>267</v>
      </c>
      <c r="D44" s="2" t="s">
        <v>268</v>
      </c>
      <c r="E44" s="2" t="s">
        <v>269</v>
      </c>
      <c r="F44" s="2" t="s">
        <v>268</v>
      </c>
    </row>
    <row r="45" spans="1:6">
      <c r="A45" s="3" t="s">
        <v>80</v>
      </c>
      <c r="B45" s="3" t="s">
        <v>80</v>
      </c>
      <c r="C45" s="4" t="s">
        <v>270</v>
      </c>
      <c r="D45" s="2" t="s">
        <v>271</v>
      </c>
      <c r="E45" s="2" t="s">
        <v>272</v>
      </c>
      <c r="F45" s="2" t="s">
        <v>271</v>
      </c>
    </row>
    <row r="46" spans="1:6">
      <c r="A46" s="3" t="s">
        <v>80</v>
      </c>
      <c r="B46" s="3" t="s">
        <v>80</v>
      </c>
      <c r="C46" s="4" t="s">
        <v>273</v>
      </c>
      <c r="D46" s="2" t="s">
        <v>274</v>
      </c>
      <c r="E46" s="2" t="s">
        <v>275</v>
      </c>
      <c r="F46" s="2" t="s">
        <v>274</v>
      </c>
    </row>
    <row r="47" spans="1:6">
      <c r="A47" s="3" t="s">
        <v>80</v>
      </c>
      <c r="B47" s="3" t="s">
        <v>80</v>
      </c>
      <c r="C47" s="4" t="s">
        <v>276</v>
      </c>
      <c r="D47" s="2" t="s">
        <v>277</v>
      </c>
      <c r="E47" s="2" t="s">
        <v>278</v>
      </c>
      <c r="F47" s="2" t="s">
        <v>277</v>
      </c>
    </row>
    <row r="48" spans="1:6">
      <c r="A48" s="3" t="s">
        <v>80</v>
      </c>
      <c r="B48" s="3" t="s">
        <v>80</v>
      </c>
      <c r="C48" s="4" t="s">
        <v>279</v>
      </c>
      <c r="D48" s="2" t="s">
        <v>280</v>
      </c>
      <c r="E48" s="2" t="s">
        <v>281</v>
      </c>
      <c r="F48" s="2" t="s">
        <v>282</v>
      </c>
    </row>
    <row r="49" spans="1:6">
      <c r="A49" s="3" t="s">
        <v>80</v>
      </c>
      <c r="B49" s="3" t="s">
        <v>80</v>
      </c>
      <c r="C49" s="4" t="s">
        <v>283</v>
      </c>
      <c r="D49" s="2" t="s">
        <v>284</v>
      </c>
      <c r="E49" s="2" t="s">
        <v>285</v>
      </c>
      <c r="F49" s="2" t="s">
        <v>286</v>
      </c>
    </row>
    <row r="50" spans="1:6">
      <c r="A50" s="3" t="s">
        <v>80</v>
      </c>
      <c r="B50" s="3" t="s">
        <v>80</v>
      </c>
      <c r="C50" s="4" t="s">
        <v>287</v>
      </c>
      <c r="D50" s="2" t="s">
        <v>288</v>
      </c>
      <c r="E50" s="2" t="s">
        <v>289</v>
      </c>
      <c r="F50" s="2" t="s">
        <v>290</v>
      </c>
    </row>
    <row r="51" spans="1:6">
      <c r="A51" s="3" t="s">
        <v>80</v>
      </c>
      <c r="B51" s="3" t="s">
        <v>80</v>
      </c>
      <c r="C51" s="4" t="s">
        <v>291</v>
      </c>
      <c r="D51" s="2" t="s">
        <v>292</v>
      </c>
      <c r="E51" s="2" t="s">
        <v>293</v>
      </c>
      <c r="F51" s="2" t="s">
        <v>294</v>
      </c>
    </row>
    <row r="52" spans="1:6">
      <c r="A52" s="3" t="s">
        <v>80</v>
      </c>
      <c r="B52" s="3" t="s">
        <v>80</v>
      </c>
      <c r="C52" s="4" t="s">
        <v>295</v>
      </c>
      <c r="D52" s="2" t="s">
        <v>296</v>
      </c>
      <c r="E52" s="2" t="s">
        <v>297</v>
      </c>
      <c r="F52" s="2" t="s">
        <v>298</v>
      </c>
    </row>
    <row r="53" spans="1:6">
      <c r="A53" s="3" t="s">
        <v>80</v>
      </c>
      <c r="B53" s="3" t="s">
        <v>80</v>
      </c>
      <c r="C53" s="4" t="s">
        <v>299</v>
      </c>
      <c r="D53" s="2" t="s">
        <v>300</v>
      </c>
      <c r="E53" s="2" t="s">
        <v>301</v>
      </c>
      <c r="F53" s="2" t="s">
        <v>302</v>
      </c>
    </row>
    <row r="54" spans="1:6">
      <c r="A54" s="3" t="s">
        <v>80</v>
      </c>
      <c r="B54" s="3" t="s">
        <v>80</v>
      </c>
      <c r="C54" s="4" t="s">
        <v>303</v>
      </c>
      <c r="D54" s="2" t="s">
        <v>304</v>
      </c>
      <c r="E54" s="2" t="s">
        <v>305</v>
      </c>
      <c r="F54" s="2" t="s">
        <v>306</v>
      </c>
    </row>
    <row r="55" spans="1:6">
      <c r="A55" s="3" t="s">
        <v>80</v>
      </c>
      <c r="B55" s="3" t="s">
        <v>80</v>
      </c>
      <c r="C55" s="4" t="s">
        <v>307</v>
      </c>
      <c r="D55" s="2" t="s">
        <v>308</v>
      </c>
      <c r="E55" s="2" t="s">
        <v>309</v>
      </c>
      <c r="F55" s="2" t="s">
        <v>310</v>
      </c>
    </row>
    <row r="56" spans="1:6">
      <c r="A56" s="3" t="s">
        <v>80</v>
      </c>
      <c r="B56" s="3" t="s">
        <v>80</v>
      </c>
      <c r="C56" s="4" t="s">
        <v>311</v>
      </c>
      <c r="D56" s="2" t="s">
        <v>312</v>
      </c>
      <c r="E56" s="2" t="s">
        <v>313</v>
      </c>
      <c r="F56" s="2" t="s">
        <v>314</v>
      </c>
    </row>
    <row r="57" spans="1:6">
      <c r="A57" s="3" t="s">
        <v>80</v>
      </c>
      <c r="B57" s="3" t="s">
        <v>80</v>
      </c>
      <c r="C57" s="4" t="s">
        <v>315</v>
      </c>
      <c r="D57" s="2" t="s">
        <v>316</v>
      </c>
      <c r="E57" s="2" t="s">
        <v>317</v>
      </c>
      <c r="F57" s="2" t="s">
        <v>318</v>
      </c>
    </row>
    <row r="58" spans="1:6">
      <c r="A58" s="3" t="s">
        <v>80</v>
      </c>
      <c r="B58" s="3" t="s">
        <v>80</v>
      </c>
      <c r="C58" s="4" t="s">
        <v>319</v>
      </c>
      <c r="D58" s="2" t="s">
        <v>320</v>
      </c>
      <c r="E58" s="2" t="s">
        <v>321</v>
      </c>
      <c r="F58" s="2" t="s">
        <v>322</v>
      </c>
    </row>
    <row r="59" spans="1:6">
      <c r="A59" s="3" t="s">
        <v>80</v>
      </c>
      <c r="B59" s="3" t="s">
        <v>80</v>
      </c>
      <c r="C59" s="4" t="s">
        <v>323</v>
      </c>
      <c r="D59" s="2" t="s">
        <v>324</v>
      </c>
      <c r="E59" s="2" t="s">
        <v>325</v>
      </c>
      <c r="F59" s="2" t="s">
        <v>326</v>
      </c>
    </row>
    <row r="60" spans="1:6">
      <c r="A60" s="3" t="s">
        <v>80</v>
      </c>
      <c r="B60" s="3" t="s">
        <v>80</v>
      </c>
      <c r="C60" s="4" t="s">
        <v>327</v>
      </c>
      <c r="D60" s="2" t="s">
        <v>328</v>
      </c>
      <c r="E60" s="2" t="s">
        <v>329</v>
      </c>
      <c r="F60" s="2" t="s">
        <v>330</v>
      </c>
    </row>
    <row r="61" spans="1:6">
      <c r="A61" s="3" t="s">
        <v>80</v>
      </c>
      <c r="B61" s="3" t="s">
        <v>80</v>
      </c>
      <c r="C61" s="4" t="s">
        <v>331</v>
      </c>
      <c r="D61" s="2" t="s">
        <v>332</v>
      </c>
      <c r="E61" s="2" t="s">
        <v>333</v>
      </c>
      <c r="F61" s="2" t="s">
        <v>334</v>
      </c>
    </row>
    <row r="62" spans="1:6">
      <c r="A62" s="3" t="s">
        <v>80</v>
      </c>
      <c r="B62" s="3" t="s">
        <v>80</v>
      </c>
      <c r="C62" s="4" t="s">
        <v>335</v>
      </c>
      <c r="D62" s="2" t="s">
        <v>336</v>
      </c>
      <c r="E62" s="2" t="s">
        <v>337</v>
      </c>
      <c r="F62" s="2" t="s">
        <v>336</v>
      </c>
    </row>
    <row r="63" spans="1:6">
      <c r="A63" s="3" t="s">
        <v>80</v>
      </c>
      <c r="B63" s="3" t="s">
        <v>80</v>
      </c>
      <c r="C63" s="4" t="s">
        <v>338</v>
      </c>
      <c r="D63" s="2" t="s">
        <v>339</v>
      </c>
      <c r="E63" s="2" t="s">
        <v>340</v>
      </c>
      <c r="F63" s="2" t="s">
        <v>341</v>
      </c>
    </row>
    <row r="64" spans="1:6">
      <c r="A64" s="3" t="s">
        <v>80</v>
      </c>
      <c r="B64" s="3" t="s">
        <v>80</v>
      </c>
      <c r="C64" s="4" t="s">
        <v>342</v>
      </c>
      <c r="D64" s="2" t="s">
        <v>343</v>
      </c>
      <c r="E64" s="2" t="s">
        <v>344</v>
      </c>
      <c r="F64" s="2" t="s">
        <v>345</v>
      </c>
    </row>
    <row r="65" spans="1:6">
      <c r="A65" s="3" t="s">
        <v>80</v>
      </c>
      <c r="B65" s="3" t="s">
        <v>80</v>
      </c>
      <c r="C65" s="4" t="s">
        <v>346</v>
      </c>
      <c r="D65" s="2" t="s">
        <v>347</v>
      </c>
      <c r="E65" s="2" t="s">
        <v>348</v>
      </c>
      <c r="F65" s="2" t="s">
        <v>349</v>
      </c>
    </row>
    <row r="66" spans="1:6">
      <c r="A66" s="3" t="s">
        <v>80</v>
      </c>
      <c r="B66" s="3" t="s">
        <v>80</v>
      </c>
      <c r="C66" s="4" t="s">
        <v>350</v>
      </c>
      <c r="D66" s="2" t="s">
        <v>351</v>
      </c>
      <c r="E66" s="2" t="s">
        <v>352</v>
      </c>
      <c r="F66" s="2" t="s">
        <v>353</v>
      </c>
    </row>
    <row r="67" spans="1:6">
      <c r="A67" s="3" t="s">
        <v>80</v>
      </c>
      <c r="B67" s="3" t="s">
        <v>80</v>
      </c>
      <c r="C67" s="4" t="s">
        <v>354</v>
      </c>
      <c r="D67" s="2" t="s">
        <v>355</v>
      </c>
      <c r="E67" s="2" t="s">
        <v>356</v>
      </c>
      <c r="F67" s="2" t="s">
        <v>357</v>
      </c>
    </row>
    <row r="68" spans="1:6">
      <c r="A68" s="3" t="s">
        <v>80</v>
      </c>
      <c r="B68" s="3" t="s">
        <v>80</v>
      </c>
      <c r="C68" s="4" t="s">
        <v>358</v>
      </c>
      <c r="D68" s="2" t="s">
        <v>359</v>
      </c>
      <c r="E68" s="2" t="s">
        <v>360</v>
      </c>
      <c r="F68" s="2" t="s">
        <v>361</v>
      </c>
    </row>
    <row r="69" spans="1:6">
      <c r="A69" s="3" t="s">
        <v>80</v>
      </c>
      <c r="B69" s="3" t="s">
        <v>80</v>
      </c>
      <c r="C69" s="4" t="s">
        <v>362</v>
      </c>
      <c r="D69" s="2" t="s">
        <v>363</v>
      </c>
      <c r="E69" s="2" t="s">
        <v>364</v>
      </c>
      <c r="F69" s="2" t="s">
        <v>365</v>
      </c>
    </row>
    <row r="70" spans="1:6">
      <c r="A70" s="3" t="s">
        <v>80</v>
      </c>
      <c r="B70" s="3" t="s">
        <v>80</v>
      </c>
      <c r="C70" s="4" t="s">
        <v>366</v>
      </c>
      <c r="D70" s="2" t="s">
        <v>367</v>
      </c>
      <c r="E70" s="2" t="s">
        <v>368</v>
      </c>
      <c r="F70" s="2" t="s">
        <v>369</v>
      </c>
    </row>
    <row r="71" spans="1:6">
      <c r="A71" s="3" t="s">
        <v>80</v>
      </c>
      <c r="B71" s="3" t="s">
        <v>80</v>
      </c>
      <c r="C71" s="4" t="s">
        <v>370</v>
      </c>
      <c r="D71" s="2" t="s">
        <v>371</v>
      </c>
      <c r="E71" s="2" t="s">
        <v>372</v>
      </c>
      <c r="F71" s="2" t="s">
        <v>373</v>
      </c>
    </row>
    <row r="72" spans="1:6">
      <c r="A72" s="3" t="s">
        <v>80</v>
      </c>
      <c r="B72" s="3" t="s">
        <v>80</v>
      </c>
      <c r="C72" s="4" t="s">
        <v>374</v>
      </c>
      <c r="D72" s="2" t="s">
        <v>375</v>
      </c>
      <c r="E72" s="2" t="s">
        <v>376</v>
      </c>
      <c r="F72" s="2" t="s">
        <v>377</v>
      </c>
    </row>
    <row r="73" spans="1:6">
      <c r="A73" s="3" t="s">
        <v>80</v>
      </c>
      <c r="B73" s="3" t="s">
        <v>80</v>
      </c>
      <c r="C73" s="4" t="s">
        <v>378</v>
      </c>
      <c r="D73" s="2" t="s">
        <v>379</v>
      </c>
      <c r="E73" s="2" t="s">
        <v>380</v>
      </c>
      <c r="F73" s="2" t="s">
        <v>377</v>
      </c>
    </row>
    <row r="74" spans="1:6">
      <c r="A74" s="3" t="s">
        <v>80</v>
      </c>
      <c r="B74" s="3" t="s">
        <v>80</v>
      </c>
      <c r="C74" s="4" t="s">
        <v>381</v>
      </c>
      <c r="D74" s="2" t="s">
        <v>382</v>
      </c>
      <c r="E74" s="2" t="s">
        <v>383</v>
      </c>
      <c r="F74" s="2" t="s">
        <v>384</v>
      </c>
    </row>
    <row r="75" spans="1:6">
      <c r="A75" s="3" t="s">
        <v>80</v>
      </c>
      <c r="B75" s="3" t="s">
        <v>80</v>
      </c>
      <c r="C75" s="4" t="s">
        <v>385</v>
      </c>
      <c r="D75" s="2" t="s">
        <v>386</v>
      </c>
      <c r="E75" s="2" t="s">
        <v>387</v>
      </c>
      <c r="F75" s="2" t="s">
        <v>388</v>
      </c>
    </row>
    <row r="76" spans="1:6">
      <c r="A76" s="3" t="s">
        <v>80</v>
      </c>
      <c r="B76" s="3" t="s">
        <v>80</v>
      </c>
      <c r="C76" s="4" t="s">
        <v>389</v>
      </c>
      <c r="D76" s="2" t="s">
        <v>390</v>
      </c>
      <c r="E76" s="2" t="s">
        <v>391</v>
      </c>
      <c r="F76" s="2" t="s">
        <v>392</v>
      </c>
    </row>
    <row r="77" spans="1:6">
      <c r="A77" s="3" t="s">
        <v>80</v>
      </c>
      <c r="B77" s="3" t="s">
        <v>80</v>
      </c>
      <c r="C77" s="4" t="s">
        <v>393</v>
      </c>
      <c r="D77" s="2" t="s">
        <v>394</v>
      </c>
      <c r="E77" s="2" t="s">
        <v>395</v>
      </c>
      <c r="F77" s="2" t="s">
        <v>396</v>
      </c>
    </row>
    <row r="78" spans="1:6">
      <c r="A78" s="3" t="s">
        <v>80</v>
      </c>
      <c r="B78" s="3" t="s">
        <v>80</v>
      </c>
      <c r="C78" s="4" t="s">
        <v>397</v>
      </c>
      <c r="D78" s="2" t="s">
        <v>398</v>
      </c>
      <c r="E78" s="2" t="s">
        <v>399</v>
      </c>
      <c r="F78" s="2" t="s">
        <v>400</v>
      </c>
    </row>
    <row r="79" spans="1:6">
      <c r="A79" s="3" t="s">
        <v>80</v>
      </c>
      <c r="B79" s="3" t="s">
        <v>80</v>
      </c>
      <c r="C79" s="4" t="s">
        <v>401</v>
      </c>
      <c r="D79" s="2" t="s">
        <v>402</v>
      </c>
      <c r="E79" s="2" t="s">
        <v>403</v>
      </c>
      <c r="F79" s="2" t="s">
        <v>404</v>
      </c>
    </row>
    <row r="80" spans="1:6">
      <c r="A80" s="3" t="s">
        <v>80</v>
      </c>
      <c r="B80" s="3" t="s">
        <v>80</v>
      </c>
      <c r="C80" s="4" t="s">
        <v>405</v>
      </c>
      <c r="D80" s="2" t="s">
        <v>406</v>
      </c>
      <c r="E80" s="2" t="s">
        <v>407</v>
      </c>
      <c r="F80" s="2" t="s">
        <v>408</v>
      </c>
    </row>
    <row r="81" spans="1:6">
      <c r="A81" s="3" t="s">
        <v>80</v>
      </c>
      <c r="B81" s="3" t="s">
        <v>80</v>
      </c>
      <c r="C81" s="4" t="s">
        <v>409</v>
      </c>
      <c r="D81" s="2" t="s">
        <v>410</v>
      </c>
      <c r="E81" s="2" t="s">
        <v>411</v>
      </c>
      <c r="F81" s="2" t="s">
        <v>412</v>
      </c>
    </row>
    <row r="82" spans="1:6">
      <c r="A82" s="3" t="s">
        <v>80</v>
      </c>
      <c r="B82" s="3" t="s">
        <v>80</v>
      </c>
      <c r="C82" s="4" t="s">
        <v>413</v>
      </c>
      <c r="D82" s="2" t="s">
        <v>414</v>
      </c>
      <c r="E82" s="2" t="s">
        <v>415</v>
      </c>
      <c r="F82" s="2" t="s">
        <v>416</v>
      </c>
    </row>
    <row r="83" spans="1:6">
      <c r="A83" s="3" t="s">
        <v>80</v>
      </c>
      <c r="B83" s="3" t="s">
        <v>80</v>
      </c>
      <c r="C83" s="4" t="s">
        <v>417</v>
      </c>
      <c r="D83" s="2" t="s">
        <v>418</v>
      </c>
      <c r="E83" s="2" t="s">
        <v>419</v>
      </c>
      <c r="F83" s="2" t="s">
        <v>420</v>
      </c>
    </row>
    <row r="84" spans="1:6">
      <c r="A84" s="3" t="s">
        <v>80</v>
      </c>
      <c r="B84" s="3" t="s">
        <v>80</v>
      </c>
      <c r="C84" s="4" t="s">
        <v>421</v>
      </c>
      <c r="D84" s="2" t="s">
        <v>422</v>
      </c>
      <c r="E84" s="2" t="s">
        <v>423</v>
      </c>
      <c r="F84" s="2" t="s">
        <v>424</v>
      </c>
    </row>
    <row r="85" spans="1:6">
      <c r="A85" s="3" t="s">
        <v>80</v>
      </c>
      <c r="B85" s="3" t="s">
        <v>80</v>
      </c>
      <c r="C85" s="4" t="s">
        <v>425</v>
      </c>
      <c r="D85" s="2" t="s">
        <v>426</v>
      </c>
      <c r="E85" s="2" t="s">
        <v>427</v>
      </c>
      <c r="F85" s="2" t="s">
        <v>428</v>
      </c>
    </row>
    <row r="86" spans="1:6">
      <c r="A86" s="3" t="s">
        <v>80</v>
      </c>
      <c r="B86" s="3" t="s">
        <v>80</v>
      </c>
      <c r="C86" s="4" t="s">
        <v>429</v>
      </c>
      <c r="D86" s="2" t="s">
        <v>430</v>
      </c>
      <c r="E86" s="2" t="s">
        <v>431</v>
      </c>
      <c r="F86" s="2" t="s">
        <v>430</v>
      </c>
    </row>
    <row r="87" spans="1:6">
      <c r="A87" s="3" t="s">
        <v>80</v>
      </c>
      <c r="B87" s="3" t="s">
        <v>80</v>
      </c>
      <c r="C87" s="4" t="s">
        <v>432</v>
      </c>
      <c r="D87" s="2" t="s">
        <v>433</v>
      </c>
      <c r="E87" s="2" t="s">
        <v>434</v>
      </c>
      <c r="F87" s="2" t="s">
        <v>435</v>
      </c>
    </row>
    <row r="88" spans="1:6">
      <c r="A88" s="3" t="s">
        <v>80</v>
      </c>
      <c r="B88" s="3" t="s">
        <v>80</v>
      </c>
      <c r="C88" s="4" t="s">
        <v>436</v>
      </c>
      <c r="D88" s="2" t="s">
        <v>437</v>
      </c>
      <c r="E88" s="2" t="s">
        <v>438</v>
      </c>
      <c r="F88" s="2" t="s">
        <v>439</v>
      </c>
    </row>
    <row r="89" spans="1:6">
      <c r="A89" s="3" t="s">
        <v>80</v>
      </c>
      <c r="B89" s="3" t="s">
        <v>80</v>
      </c>
      <c r="C89" s="4" t="s">
        <v>440</v>
      </c>
      <c r="D89" s="2" t="s">
        <v>441</v>
      </c>
      <c r="E89" s="2" t="s">
        <v>442</v>
      </c>
      <c r="F89" s="2" t="s">
        <v>443</v>
      </c>
    </row>
    <row r="90" spans="1:6">
      <c r="A90" s="3" t="s">
        <v>80</v>
      </c>
      <c r="B90" s="3" t="s">
        <v>80</v>
      </c>
      <c r="C90" s="4" t="s">
        <v>444</v>
      </c>
      <c r="D90" s="2" t="s">
        <v>445</v>
      </c>
      <c r="E90" s="2" t="s">
        <v>446</v>
      </c>
      <c r="F90" s="2" t="s">
        <v>447</v>
      </c>
    </row>
    <row r="91" spans="1:6">
      <c r="A91" s="3" t="s">
        <v>80</v>
      </c>
      <c r="B91" s="3" t="s">
        <v>80</v>
      </c>
      <c r="C91" s="4" t="s">
        <v>448</v>
      </c>
      <c r="D91" s="2" t="s">
        <v>449</v>
      </c>
      <c r="E91" s="2" t="s">
        <v>450</v>
      </c>
      <c r="F91" s="2" t="s">
        <v>451</v>
      </c>
    </row>
    <row r="92" spans="1:6">
      <c r="A92" s="3" t="s">
        <v>80</v>
      </c>
      <c r="B92" s="3" t="s">
        <v>80</v>
      </c>
      <c r="C92" s="4" t="s">
        <v>452</v>
      </c>
      <c r="D92" s="2" t="s">
        <v>453</v>
      </c>
      <c r="E92" s="2" t="s">
        <v>454</v>
      </c>
      <c r="F92" s="2" t="s">
        <v>455</v>
      </c>
    </row>
    <row r="93" spans="1:6">
      <c r="A93" s="3" t="s">
        <v>80</v>
      </c>
      <c r="B93" s="3" t="s">
        <v>80</v>
      </c>
      <c r="C93" s="4" t="s">
        <v>456</v>
      </c>
      <c r="D93" s="2" t="s">
        <v>457</v>
      </c>
      <c r="E93" s="2" t="s">
        <v>458</v>
      </c>
      <c r="F93" s="2" t="s">
        <v>455</v>
      </c>
    </row>
    <row r="94" spans="1:6">
      <c r="A94" s="3" t="s">
        <v>80</v>
      </c>
      <c r="B94" s="3" t="s">
        <v>80</v>
      </c>
      <c r="C94" s="4" t="s">
        <v>459</v>
      </c>
      <c r="D94" s="2" t="s">
        <v>460</v>
      </c>
      <c r="E94" s="2" t="s">
        <v>461</v>
      </c>
      <c r="F94" s="2" t="s">
        <v>462</v>
      </c>
    </row>
    <row r="95" spans="1:6">
      <c r="A95" s="3" t="s">
        <v>80</v>
      </c>
      <c r="B95" s="3" t="s">
        <v>80</v>
      </c>
      <c r="C95" s="4" t="s">
        <v>463</v>
      </c>
      <c r="D95" s="2" t="s">
        <v>464</v>
      </c>
      <c r="E95" s="2" t="s">
        <v>465</v>
      </c>
      <c r="F95" s="2" t="s">
        <v>462</v>
      </c>
    </row>
    <row r="96" spans="1:6">
      <c r="A96" s="3" t="s">
        <v>80</v>
      </c>
      <c r="B96" s="3" t="s">
        <v>80</v>
      </c>
      <c r="C96" s="4" t="s">
        <v>466</v>
      </c>
      <c r="D96" s="2" t="s">
        <v>467</v>
      </c>
      <c r="E96" s="2" t="s">
        <v>468</v>
      </c>
      <c r="F96" s="2" t="s">
        <v>469</v>
      </c>
    </row>
    <row r="97" spans="1:6">
      <c r="A97" s="3" t="s">
        <v>80</v>
      </c>
      <c r="B97" s="3" t="s">
        <v>80</v>
      </c>
      <c r="C97" s="4" t="s">
        <v>470</v>
      </c>
      <c r="D97" s="2" t="s">
        <v>471</v>
      </c>
      <c r="E97" s="2" t="s">
        <v>472</v>
      </c>
      <c r="F97" s="2" t="s">
        <v>469</v>
      </c>
    </row>
    <row r="98" spans="1:6">
      <c r="A98" s="3" t="s">
        <v>80</v>
      </c>
      <c r="B98" s="3" t="s">
        <v>80</v>
      </c>
      <c r="C98" s="4" t="s">
        <v>473</v>
      </c>
      <c r="D98" s="2" t="s">
        <v>474</v>
      </c>
      <c r="E98" s="2" t="s">
        <v>475</v>
      </c>
      <c r="F98" s="2" t="s">
        <v>476</v>
      </c>
    </row>
    <row r="99" spans="1:6">
      <c r="A99" s="3" t="s">
        <v>80</v>
      </c>
      <c r="B99" s="3" t="s">
        <v>80</v>
      </c>
      <c r="C99" s="4" t="s">
        <v>477</v>
      </c>
      <c r="D99" s="2" t="s">
        <v>478</v>
      </c>
      <c r="E99" s="2" t="s">
        <v>479</v>
      </c>
      <c r="F99" s="2" t="s">
        <v>480</v>
      </c>
    </row>
    <row r="100" spans="1:6">
      <c r="A100" s="3" t="s">
        <v>80</v>
      </c>
      <c r="B100" s="3" t="s">
        <v>80</v>
      </c>
      <c r="C100" s="4" t="s">
        <v>481</v>
      </c>
      <c r="D100" s="2" t="s">
        <v>482</v>
      </c>
      <c r="E100" s="2" t="s">
        <v>483</v>
      </c>
      <c r="F100" s="2" t="s">
        <v>482</v>
      </c>
    </row>
    <row r="101" spans="1:6">
      <c r="A101" s="3" t="s">
        <v>80</v>
      </c>
      <c r="B101" s="3" t="s">
        <v>80</v>
      </c>
      <c r="C101" s="4" t="s">
        <v>484</v>
      </c>
      <c r="D101" s="2" t="s">
        <v>485</v>
      </c>
      <c r="E101" s="2" t="s">
        <v>486</v>
      </c>
      <c r="F101" s="2" t="s">
        <v>487</v>
      </c>
    </row>
    <row r="102" spans="1:6">
      <c r="A102" s="3" t="s">
        <v>80</v>
      </c>
      <c r="B102" s="3" t="s">
        <v>80</v>
      </c>
      <c r="C102" s="4" t="s">
        <v>488</v>
      </c>
      <c r="D102" s="2" t="s">
        <v>489</v>
      </c>
      <c r="E102" s="2" t="s">
        <v>490</v>
      </c>
      <c r="F102" s="2" t="s">
        <v>491</v>
      </c>
    </row>
    <row r="103" spans="1:6">
      <c r="A103" s="3" t="s">
        <v>80</v>
      </c>
      <c r="B103" s="3" t="s">
        <v>80</v>
      </c>
      <c r="C103" s="4" t="s">
        <v>492</v>
      </c>
      <c r="D103" s="2" t="s">
        <v>493</v>
      </c>
      <c r="E103" s="2" t="s">
        <v>494</v>
      </c>
      <c r="F103" s="2" t="s">
        <v>495</v>
      </c>
    </row>
    <row r="104" spans="1:6">
      <c r="A104" s="3" t="s">
        <v>80</v>
      </c>
      <c r="B104" s="3" t="s">
        <v>80</v>
      </c>
      <c r="C104" s="4" t="s">
        <v>496</v>
      </c>
      <c r="D104" s="2" t="s">
        <v>497</v>
      </c>
      <c r="E104" s="2" t="s">
        <v>498</v>
      </c>
      <c r="F104" s="2" t="s">
        <v>499</v>
      </c>
    </row>
    <row r="105" spans="1:6">
      <c r="A105" s="3" t="s">
        <v>80</v>
      </c>
      <c r="B105" s="3" t="s">
        <v>80</v>
      </c>
      <c r="C105" s="4" t="s">
        <v>500</v>
      </c>
      <c r="D105" s="2" t="s">
        <v>501</v>
      </c>
      <c r="E105" s="2" t="s">
        <v>502</v>
      </c>
      <c r="F105" s="2" t="s">
        <v>503</v>
      </c>
    </row>
    <row r="106" spans="1:6">
      <c r="A106" s="3" t="s">
        <v>80</v>
      </c>
      <c r="B106" s="3" t="s">
        <v>80</v>
      </c>
      <c r="C106" s="4" t="s">
        <v>504</v>
      </c>
      <c r="D106" s="2" t="s">
        <v>505</v>
      </c>
      <c r="E106" s="2" t="s">
        <v>506</v>
      </c>
      <c r="F106" s="2" t="s">
        <v>507</v>
      </c>
    </row>
    <row r="107" spans="1:6">
      <c r="A107" s="3" t="s">
        <v>80</v>
      </c>
      <c r="B107" s="3" t="s">
        <v>80</v>
      </c>
      <c r="C107" s="4" t="s">
        <v>508</v>
      </c>
      <c r="D107" s="2" t="s">
        <v>509</v>
      </c>
      <c r="E107" s="2" t="s">
        <v>510</v>
      </c>
      <c r="F107" s="2" t="s">
        <v>511</v>
      </c>
    </row>
    <row r="108" spans="1:6">
      <c r="A108" s="3" t="s">
        <v>80</v>
      </c>
      <c r="B108" s="3" t="s">
        <v>80</v>
      </c>
      <c r="C108" s="4" t="s">
        <v>512</v>
      </c>
      <c r="D108" s="2" t="s">
        <v>513</v>
      </c>
      <c r="E108" s="2" t="s">
        <v>514</v>
      </c>
      <c r="F108" s="2" t="s">
        <v>515</v>
      </c>
    </row>
    <row r="109" spans="1:6">
      <c r="A109" s="3" t="s">
        <v>80</v>
      </c>
      <c r="B109" s="3" t="s">
        <v>80</v>
      </c>
      <c r="C109" s="4" t="s">
        <v>516</v>
      </c>
      <c r="D109" s="2" t="s">
        <v>517</v>
      </c>
      <c r="E109" s="2" t="s">
        <v>518</v>
      </c>
      <c r="F109" s="2" t="s">
        <v>519</v>
      </c>
    </row>
    <row r="110" spans="1:6">
      <c r="A110" s="3" t="s">
        <v>80</v>
      </c>
      <c r="B110" s="3" t="s">
        <v>80</v>
      </c>
      <c r="C110" s="4" t="s">
        <v>520</v>
      </c>
      <c r="D110" s="2" t="s">
        <v>521</v>
      </c>
      <c r="E110" s="2" t="s">
        <v>522</v>
      </c>
      <c r="F110" s="2" t="s">
        <v>523</v>
      </c>
    </row>
    <row r="111" spans="1:6">
      <c r="A111" s="3" t="s">
        <v>80</v>
      </c>
      <c r="B111" s="3" t="s">
        <v>80</v>
      </c>
      <c r="C111" s="4" t="s">
        <v>524</v>
      </c>
      <c r="D111" s="2" t="s">
        <v>525</v>
      </c>
      <c r="E111" s="2" t="s">
        <v>526</v>
      </c>
      <c r="F111" s="2" t="s">
        <v>527</v>
      </c>
    </row>
    <row r="112" spans="1:6">
      <c r="A112" s="3" t="s">
        <v>80</v>
      </c>
      <c r="B112" s="3" t="s">
        <v>80</v>
      </c>
      <c r="C112" s="4" t="s">
        <v>528</v>
      </c>
      <c r="D112" s="2" t="s">
        <v>529</v>
      </c>
      <c r="E112" s="2" t="s">
        <v>530</v>
      </c>
      <c r="F112" s="2" t="s">
        <v>531</v>
      </c>
    </row>
    <row r="113" spans="1:6">
      <c r="A113" s="3" t="s">
        <v>80</v>
      </c>
      <c r="B113" s="3" t="s">
        <v>80</v>
      </c>
      <c r="C113" s="4" t="s">
        <v>532</v>
      </c>
      <c r="D113" s="2" t="s">
        <v>533</v>
      </c>
      <c r="E113" s="2" t="s">
        <v>534</v>
      </c>
      <c r="F113" s="2" t="s">
        <v>535</v>
      </c>
    </row>
    <row r="114" spans="1:6">
      <c r="A114" s="3" t="s">
        <v>80</v>
      </c>
      <c r="B114" s="3" t="s">
        <v>80</v>
      </c>
      <c r="C114" s="4" t="s">
        <v>536</v>
      </c>
      <c r="D114" s="2" t="s">
        <v>537</v>
      </c>
      <c r="E114" s="2" t="s">
        <v>538</v>
      </c>
      <c r="F114" s="2" t="s">
        <v>539</v>
      </c>
    </row>
    <row r="115" spans="1:6">
      <c r="A115" s="3" t="s">
        <v>80</v>
      </c>
      <c r="B115" s="3" t="s">
        <v>80</v>
      </c>
      <c r="C115" s="4" t="s">
        <v>540</v>
      </c>
      <c r="D115" s="2" t="s">
        <v>541</v>
      </c>
      <c r="E115" s="2" t="s">
        <v>542</v>
      </c>
      <c r="F115" s="2" t="s">
        <v>543</v>
      </c>
    </row>
    <row r="116" spans="1:6">
      <c r="A116" s="3" t="s">
        <v>80</v>
      </c>
      <c r="B116" s="3" t="s">
        <v>80</v>
      </c>
      <c r="C116" s="4" t="s">
        <v>544</v>
      </c>
      <c r="D116" s="2" t="s">
        <v>545</v>
      </c>
      <c r="E116" s="2" t="s">
        <v>546</v>
      </c>
      <c r="F116" s="2" t="s">
        <v>547</v>
      </c>
    </row>
    <row r="117" spans="1:6">
      <c r="A117" s="3" t="s">
        <v>80</v>
      </c>
      <c r="B117" s="3" t="s">
        <v>80</v>
      </c>
      <c r="C117" s="4" t="s">
        <v>548</v>
      </c>
      <c r="D117" s="2" t="s">
        <v>549</v>
      </c>
      <c r="E117" s="2" t="s">
        <v>550</v>
      </c>
      <c r="F117" s="2" t="s">
        <v>551</v>
      </c>
    </row>
    <row r="118" spans="1:6">
      <c r="A118" s="3" t="s">
        <v>80</v>
      </c>
      <c r="B118" s="3" t="s">
        <v>80</v>
      </c>
      <c r="C118" s="4" t="s">
        <v>552</v>
      </c>
      <c r="D118" s="2" t="s">
        <v>553</v>
      </c>
      <c r="E118" s="2" t="s">
        <v>554</v>
      </c>
      <c r="F118" s="2" t="s">
        <v>555</v>
      </c>
    </row>
    <row r="119" spans="1:6">
      <c r="A119" s="3" t="s">
        <v>80</v>
      </c>
      <c r="B119" s="3" t="s">
        <v>80</v>
      </c>
      <c r="C119" s="4" t="s">
        <v>556</v>
      </c>
      <c r="D119" s="2" t="s">
        <v>557</v>
      </c>
      <c r="E119" s="2" t="s">
        <v>558</v>
      </c>
      <c r="F119" s="2" t="s">
        <v>559</v>
      </c>
    </row>
    <row r="120" spans="1:6">
      <c r="A120" s="3" t="s">
        <v>80</v>
      </c>
      <c r="B120" s="3" t="s">
        <v>80</v>
      </c>
      <c r="C120" s="4" t="s">
        <v>560</v>
      </c>
      <c r="D120" s="2" t="s">
        <v>561</v>
      </c>
      <c r="E120" s="2" t="s">
        <v>562</v>
      </c>
      <c r="F120" s="2" t="s">
        <v>563</v>
      </c>
    </row>
    <row r="121" spans="1:6">
      <c r="A121" s="3" t="s">
        <v>80</v>
      </c>
      <c r="B121" s="3" t="s">
        <v>80</v>
      </c>
      <c r="C121" s="4" t="s">
        <v>564</v>
      </c>
      <c r="D121" s="2" t="s">
        <v>565</v>
      </c>
      <c r="E121" s="2" t="s">
        <v>566</v>
      </c>
      <c r="F121" s="2" t="s">
        <v>567</v>
      </c>
    </row>
    <row r="122" spans="1:6">
      <c r="A122" s="3" t="s">
        <v>80</v>
      </c>
      <c r="B122" s="3" t="s">
        <v>80</v>
      </c>
      <c r="C122" s="4" t="s">
        <v>568</v>
      </c>
      <c r="D122" s="2" t="s">
        <v>569</v>
      </c>
      <c r="E122" s="2" t="s">
        <v>570</v>
      </c>
      <c r="F122" s="2" t="s">
        <v>571</v>
      </c>
    </row>
    <row r="123" spans="1:6">
      <c r="A123" s="3" t="s">
        <v>80</v>
      </c>
      <c r="B123" s="3" t="s">
        <v>80</v>
      </c>
      <c r="C123" s="4" t="s">
        <v>572</v>
      </c>
      <c r="D123" s="2" t="s">
        <v>573</v>
      </c>
      <c r="E123" s="2" t="s">
        <v>574</v>
      </c>
      <c r="F123" s="2" t="s">
        <v>575</v>
      </c>
    </row>
    <row r="124" spans="1:6">
      <c r="A124" s="3" t="s">
        <v>80</v>
      </c>
      <c r="B124" s="3" t="s">
        <v>80</v>
      </c>
      <c r="C124" s="4" t="s">
        <v>576</v>
      </c>
      <c r="D124" s="2" t="s">
        <v>577</v>
      </c>
      <c r="E124" s="2" t="s">
        <v>578</v>
      </c>
      <c r="F124" s="2" t="s">
        <v>577</v>
      </c>
    </row>
    <row r="125" spans="1:6">
      <c r="A125" s="3" t="s">
        <v>80</v>
      </c>
      <c r="B125" s="3" t="s">
        <v>80</v>
      </c>
      <c r="C125" s="4" t="s">
        <v>579</v>
      </c>
      <c r="D125" s="2" t="s">
        <v>580</v>
      </c>
      <c r="E125" s="2" t="s">
        <v>581</v>
      </c>
      <c r="F125" s="2" t="s">
        <v>582</v>
      </c>
    </row>
    <row r="126" spans="1:6">
      <c r="A126" s="3" t="s">
        <v>80</v>
      </c>
      <c r="B126" s="3" t="s">
        <v>80</v>
      </c>
      <c r="C126" s="4" t="s">
        <v>583</v>
      </c>
      <c r="D126" s="2" t="s">
        <v>584</v>
      </c>
      <c r="E126" s="2" t="s">
        <v>585</v>
      </c>
      <c r="F126" s="2" t="s">
        <v>586</v>
      </c>
    </row>
    <row r="127" spans="1:6">
      <c r="A127" s="3" t="s">
        <v>80</v>
      </c>
      <c r="B127" s="3" t="s">
        <v>80</v>
      </c>
      <c r="C127" s="4" t="s">
        <v>587</v>
      </c>
      <c r="D127" s="2" t="s">
        <v>588</v>
      </c>
      <c r="E127" s="2" t="s">
        <v>589</v>
      </c>
      <c r="F127" s="2" t="s">
        <v>590</v>
      </c>
    </row>
    <row r="128" spans="1:6">
      <c r="A128" s="3" t="s">
        <v>80</v>
      </c>
      <c r="B128" s="3" t="s">
        <v>80</v>
      </c>
      <c r="C128" s="4" t="s">
        <v>591</v>
      </c>
      <c r="D128" s="2" t="s">
        <v>592</v>
      </c>
      <c r="E128" s="2" t="s">
        <v>593</v>
      </c>
      <c r="F128" s="2" t="s">
        <v>594</v>
      </c>
    </row>
    <row r="129" spans="1:6">
      <c r="A129" s="3" t="s">
        <v>80</v>
      </c>
      <c r="B129" s="3" t="s">
        <v>80</v>
      </c>
      <c r="C129" s="4" t="s">
        <v>595</v>
      </c>
      <c r="D129" s="2" t="s">
        <v>596</v>
      </c>
      <c r="E129" s="2" t="s">
        <v>597</v>
      </c>
      <c r="F129" s="2" t="s">
        <v>598</v>
      </c>
    </row>
    <row r="130" spans="1:6">
      <c r="A130" s="3" t="s">
        <v>80</v>
      </c>
      <c r="B130" s="3" t="s">
        <v>80</v>
      </c>
      <c r="C130" s="4" t="s">
        <v>599</v>
      </c>
      <c r="D130" s="2" t="s">
        <v>600</v>
      </c>
      <c r="E130" s="2" t="s">
        <v>601</v>
      </c>
      <c r="F130" s="2" t="s">
        <v>602</v>
      </c>
    </row>
    <row r="131" spans="1:6">
      <c r="A131" s="3" t="s">
        <v>80</v>
      </c>
      <c r="B131" s="3" t="s">
        <v>80</v>
      </c>
      <c r="C131" s="4" t="s">
        <v>603</v>
      </c>
      <c r="D131" s="2" t="s">
        <v>604</v>
      </c>
      <c r="E131" s="2" t="s">
        <v>605</v>
      </c>
      <c r="F131" s="2" t="s">
        <v>606</v>
      </c>
    </row>
    <row r="132" spans="1:6">
      <c r="A132" s="3" t="s">
        <v>80</v>
      </c>
      <c r="B132" s="3" t="s">
        <v>80</v>
      </c>
      <c r="C132" s="4" t="s">
        <v>607</v>
      </c>
      <c r="D132" s="2" t="s">
        <v>608</v>
      </c>
      <c r="E132" s="2" t="s">
        <v>609</v>
      </c>
      <c r="F132" s="2" t="s">
        <v>610</v>
      </c>
    </row>
    <row r="133" spans="1:6">
      <c r="A133" s="3" t="s">
        <v>80</v>
      </c>
      <c r="B133" s="3" t="s">
        <v>80</v>
      </c>
      <c r="C133" s="4" t="s">
        <v>611</v>
      </c>
      <c r="D133" s="2" t="s">
        <v>612</v>
      </c>
      <c r="E133" s="2" t="s">
        <v>613</v>
      </c>
      <c r="F133" s="2" t="s">
        <v>614</v>
      </c>
    </row>
    <row r="134" spans="1:6">
      <c r="A134" s="3" t="s">
        <v>80</v>
      </c>
      <c r="B134" s="3" t="s">
        <v>80</v>
      </c>
      <c r="C134" s="4" t="s">
        <v>615</v>
      </c>
      <c r="D134" s="2" t="s">
        <v>616</v>
      </c>
      <c r="E134" s="2" t="s">
        <v>617</v>
      </c>
      <c r="F134" s="2" t="s">
        <v>616</v>
      </c>
    </row>
    <row r="135" spans="1:6">
      <c r="A135" s="3" t="s">
        <v>80</v>
      </c>
      <c r="B135" s="3" t="s">
        <v>80</v>
      </c>
      <c r="C135" s="4" t="s">
        <v>618</v>
      </c>
      <c r="D135" s="2" t="s">
        <v>619</v>
      </c>
      <c r="E135" s="2" t="s">
        <v>620</v>
      </c>
      <c r="F135" s="2" t="s">
        <v>621</v>
      </c>
    </row>
    <row r="136" spans="1:6">
      <c r="A136" s="3" t="s">
        <v>80</v>
      </c>
      <c r="B136" s="3" t="s">
        <v>80</v>
      </c>
      <c r="C136" s="4" t="s">
        <v>622</v>
      </c>
      <c r="D136" s="2" t="s">
        <v>623</v>
      </c>
      <c r="E136" s="2" t="s">
        <v>624</v>
      </c>
      <c r="F136" s="2" t="s">
        <v>625</v>
      </c>
    </row>
    <row r="137" spans="1:6">
      <c r="A137" s="3" t="s">
        <v>80</v>
      </c>
      <c r="B137" s="3" t="s">
        <v>80</v>
      </c>
      <c r="C137" s="4" t="s">
        <v>626</v>
      </c>
      <c r="D137" s="2" t="s">
        <v>627</v>
      </c>
      <c r="E137" s="2" t="s">
        <v>628</v>
      </c>
      <c r="F137" s="2" t="s">
        <v>629</v>
      </c>
    </row>
    <row r="138" spans="1:6">
      <c r="A138" s="3" t="s">
        <v>80</v>
      </c>
      <c r="B138" s="3" t="s">
        <v>80</v>
      </c>
      <c r="C138" s="4" t="s">
        <v>630</v>
      </c>
      <c r="D138" s="2" t="s">
        <v>631</v>
      </c>
      <c r="E138" s="2" t="s">
        <v>632</v>
      </c>
      <c r="F138" s="2" t="s">
        <v>633</v>
      </c>
    </row>
    <row r="139" spans="1:6">
      <c r="A139" s="3" t="s">
        <v>80</v>
      </c>
      <c r="B139" s="3" t="s">
        <v>80</v>
      </c>
      <c r="C139" s="4" t="s">
        <v>634</v>
      </c>
      <c r="D139" s="2" t="s">
        <v>635</v>
      </c>
      <c r="E139" s="2" t="s">
        <v>636</v>
      </c>
      <c r="F139" s="2" t="s">
        <v>637</v>
      </c>
    </row>
    <row r="140" spans="1:6">
      <c r="A140" s="3" t="s">
        <v>80</v>
      </c>
      <c r="B140" s="3" t="s">
        <v>80</v>
      </c>
      <c r="C140" s="4" t="s">
        <v>638</v>
      </c>
      <c r="D140" s="2" t="s">
        <v>639</v>
      </c>
      <c r="E140" s="2" t="s">
        <v>640</v>
      </c>
      <c r="F140" s="2" t="s">
        <v>641</v>
      </c>
    </row>
    <row r="141" spans="1:6">
      <c r="A141" s="3" t="s">
        <v>80</v>
      </c>
      <c r="B141" s="3" t="s">
        <v>80</v>
      </c>
      <c r="C141" s="4" t="s">
        <v>642</v>
      </c>
      <c r="D141" s="2" t="s">
        <v>643</v>
      </c>
      <c r="E141" s="2" t="s">
        <v>644</v>
      </c>
      <c r="F141" s="2" t="s">
        <v>645</v>
      </c>
    </row>
    <row r="142" spans="1:6">
      <c r="A142" s="3" t="s">
        <v>80</v>
      </c>
      <c r="B142" s="3" t="s">
        <v>80</v>
      </c>
      <c r="C142" s="4" t="s">
        <v>646</v>
      </c>
      <c r="D142" s="2" t="s">
        <v>647</v>
      </c>
      <c r="E142" s="2" t="s">
        <v>648</v>
      </c>
      <c r="F142" s="2" t="s">
        <v>649</v>
      </c>
    </row>
    <row r="143" spans="1:6">
      <c r="A143" s="3" t="s">
        <v>80</v>
      </c>
      <c r="B143" s="3" t="s">
        <v>80</v>
      </c>
      <c r="C143" s="4" t="s">
        <v>650</v>
      </c>
      <c r="D143" s="2" t="s">
        <v>651</v>
      </c>
      <c r="E143" s="2" t="s">
        <v>652</v>
      </c>
      <c r="F143" s="2" t="s">
        <v>651</v>
      </c>
    </row>
    <row r="144" spans="1:6">
      <c r="A144" s="3" t="s">
        <v>80</v>
      </c>
      <c r="B144" s="3" t="s">
        <v>80</v>
      </c>
      <c r="C144" s="4" t="s">
        <v>653</v>
      </c>
      <c r="D144" s="2" t="s">
        <v>654</v>
      </c>
      <c r="E144" s="2" t="s">
        <v>655</v>
      </c>
      <c r="F144" s="2" t="s">
        <v>654</v>
      </c>
    </row>
    <row r="145" spans="1:6">
      <c r="A145" s="3" t="s">
        <v>656</v>
      </c>
      <c r="B145" s="3" t="s">
        <v>108</v>
      </c>
      <c r="C145" s="4" t="s">
        <v>116</v>
      </c>
      <c r="D145" s="2" t="s">
        <v>67</v>
      </c>
      <c r="E145" s="2" t="s">
        <v>117</v>
      </c>
      <c r="F145" s="2" t="s">
        <v>118</v>
      </c>
    </row>
    <row r="146" spans="1:6">
      <c r="A146" s="3" t="s">
        <v>656</v>
      </c>
      <c r="B146" s="3" t="s">
        <v>108</v>
      </c>
      <c r="C146" s="4" t="s">
        <v>119</v>
      </c>
      <c r="D146" s="2" t="s">
        <v>69</v>
      </c>
      <c r="E146" s="2" t="s">
        <v>63</v>
      </c>
      <c r="F146" s="2" t="s">
        <v>120</v>
      </c>
    </row>
    <row r="147" spans="1:6">
      <c r="A147" s="3" t="s">
        <v>656</v>
      </c>
      <c r="B147" s="3" t="s">
        <v>108</v>
      </c>
      <c r="C147" s="4" t="s">
        <v>121</v>
      </c>
      <c r="D147" s="2" t="s">
        <v>122</v>
      </c>
      <c r="E147" s="2" t="s">
        <v>123</v>
      </c>
      <c r="F147" s="2" t="s">
        <v>124</v>
      </c>
    </row>
    <row r="148" spans="1:6">
      <c r="A148" s="3" t="s">
        <v>656</v>
      </c>
      <c r="B148" s="3" t="s">
        <v>108</v>
      </c>
      <c r="C148" s="4" t="s">
        <v>125</v>
      </c>
      <c r="D148" s="2" t="s">
        <v>126</v>
      </c>
      <c r="E148" s="2" t="s">
        <v>127</v>
      </c>
      <c r="F148" s="2" t="s">
        <v>128</v>
      </c>
    </row>
    <row r="149" spans="1:6">
      <c r="A149" s="3" t="s">
        <v>656</v>
      </c>
      <c r="B149" s="3" t="s">
        <v>108</v>
      </c>
      <c r="C149" s="4" t="s">
        <v>657</v>
      </c>
      <c r="D149" s="2" t="s">
        <v>658</v>
      </c>
      <c r="E149" s="2" t="s">
        <v>659</v>
      </c>
      <c r="F149" s="2" t="s">
        <v>660</v>
      </c>
    </row>
    <row r="150" spans="1:6">
      <c r="A150" s="3" t="s">
        <v>656</v>
      </c>
      <c r="B150" s="3" t="s">
        <v>108</v>
      </c>
      <c r="C150" s="4" t="s">
        <v>661</v>
      </c>
      <c r="D150" s="2" t="s">
        <v>662</v>
      </c>
      <c r="E150" s="2" t="s">
        <v>663</v>
      </c>
      <c r="F150" s="2" t="s">
        <v>664</v>
      </c>
    </row>
    <row r="151" spans="1:6">
      <c r="A151" s="3" t="s">
        <v>656</v>
      </c>
      <c r="B151" s="3" t="s">
        <v>108</v>
      </c>
      <c r="C151" s="4" t="s">
        <v>129</v>
      </c>
      <c r="D151" s="2" t="s">
        <v>73</v>
      </c>
      <c r="E151" s="2" t="s">
        <v>130</v>
      </c>
      <c r="F151" s="2" t="s">
        <v>131</v>
      </c>
    </row>
    <row r="152" spans="1:6">
      <c r="A152" s="3" t="s">
        <v>656</v>
      </c>
      <c r="B152" s="3" t="s">
        <v>108</v>
      </c>
      <c r="C152" s="4" t="s">
        <v>132</v>
      </c>
      <c r="D152" s="2" t="s">
        <v>70</v>
      </c>
      <c r="E152" s="2" t="s">
        <v>133</v>
      </c>
      <c r="F152" s="2" t="s">
        <v>134</v>
      </c>
    </row>
    <row r="153" spans="1:6">
      <c r="A153" s="3" t="s">
        <v>656</v>
      </c>
      <c r="B153" s="3" t="s">
        <v>108</v>
      </c>
      <c r="C153" s="4" t="s">
        <v>135</v>
      </c>
      <c r="D153" s="2" t="s">
        <v>136</v>
      </c>
      <c r="E153" s="2" t="s">
        <v>137</v>
      </c>
      <c r="F153" s="2" t="s">
        <v>138</v>
      </c>
    </row>
    <row r="154" spans="1:6">
      <c r="A154" s="3" t="s">
        <v>656</v>
      </c>
      <c r="B154" s="3" t="s">
        <v>108</v>
      </c>
      <c r="C154" s="4" t="s">
        <v>139</v>
      </c>
      <c r="D154" s="2" t="s">
        <v>139</v>
      </c>
      <c r="E154" s="2" t="s">
        <v>140</v>
      </c>
      <c r="F154" s="2" t="s">
        <v>141</v>
      </c>
    </row>
    <row r="155" spans="1:6">
      <c r="A155" s="3" t="s">
        <v>656</v>
      </c>
      <c r="B155" s="3" t="s">
        <v>108</v>
      </c>
      <c r="C155" s="4" t="s">
        <v>150</v>
      </c>
      <c r="D155" s="2" t="s">
        <v>151</v>
      </c>
      <c r="E155" s="2" t="s">
        <v>152</v>
      </c>
      <c r="F155" s="2" t="s">
        <v>153</v>
      </c>
    </row>
    <row r="156" spans="1:6">
      <c r="A156" s="3" t="s">
        <v>656</v>
      </c>
      <c r="B156" s="3" t="s">
        <v>108</v>
      </c>
      <c r="C156" s="4" t="s">
        <v>154</v>
      </c>
      <c r="D156" s="2" t="s">
        <v>155</v>
      </c>
      <c r="E156" s="2" t="s">
        <v>156</v>
      </c>
      <c r="F156" s="2" t="s">
        <v>157</v>
      </c>
    </row>
    <row r="157" spans="1:6">
      <c r="A157" s="3" t="s">
        <v>656</v>
      </c>
      <c r="B157" s="3" t="s">
        <v>108</v>
      </c>
      <c r="C157" s="4" t="s">
        <v>158</v>
      </c>
      <c r="D157" s="2" t="s">
        <v>159</v>
      </c>
      <c r="E157" s="2" t="s">
        <v>160</v>
      </c>
      <c r="F157" s="2" t="s">
        <v>159</v>
      </c>
    </row>
    <row r="158" spans="1:6">
      <c r="A158" s="3" t="s">
        <v>656</v>
      </c>
      <c r="B158" s="3" t="s">
        <v>108</v>
      </c>
      <c r="C158" s="4" t="s">
        <v>161</v>
      </c>
      <c r="D158" s="2" t="s">
        <v>162</v>
      </c>
      <c r="E158" s="2" t="s">
        <v>163</v>
      </c>
      <c r="F158" s="2" t="s">
        <v>162</v>
      </c>
    </row>
    <row r="159" spans="1:6">
      <c r="A159" s="3" t="s">
        <v>656</v>
      </c>
      <c r="B159" s="3" t="s">
        <v>108</v>
      </c>
      <c r="C159" s="4" t="s">
        <v>164</v>
      </c>
      <c r="D159" s="2" t="s">
        <v>60</v>
      </c>
      <c r="E159" s="2" t="s">
        <v>165</v>
      </c>
      <c r="F159" s="2" t="s">
        <v>166</v>
      </c>
    </row>
    <row r="160" spans="1:6">
      <c r="A160" s="3" t="s">
        <v>656</v>
      </c>
      <c r="B160" s="3" t="s">
        <v>108</v>
      </c>
      <c r="C160" s="4" t="s">
        <v>167</v>
      </c>
      <c r="D160" s="2" t="s">
        <v>61</v>
      </c>
      <c r="E160" s="2" t="s">
        <v>168</v>
      </c>
      <c r="F160" s="2" t="s">
        <v>169</v>
      </c>
    </row>
    <row r="161" spans="1:6">
      <c r="A161" s="3" t="s">
        <v>656</v>
      </c>
      <c r="B161" s="3" t="s">
        <v>108</v>
      </c>
      <c r="C161" s="4" t="s">
        <v>170</v>
      </c>
      <c r="D161" s="2" t="s">
        <v>68</v>
      </c>
      <c r="E161" s="2" t="s">
        <v>171</v>
      </c>
      <c r="F161" s="2" t="s">
        <v>172</v>
      </c>
    </row>
    <row r="162" spans="1:6">
      <c r="A162" s="3" t="s">
        <v>656</v>
      </c>
      <c r="B162" s="3" t="s">
        <v>108</v>
      </c>
      <c r="C162" s="4" t="s">
        <v>173</v>
      </c>
      <c r="D162" s="2" t="s">
        <v>174</v>
      </c>
      <c r="E162" s="2" t="s">
        <v>175</v>
      </c>
      <c r="F162" s="2" t="s">
        <v>176</v>
      </c>
    </row>
    <row r="163" spans="1:6">
      <c r="A163" s="3" t="s">
        <v>656</v>
      </c>
      <c r="B163" s="3" t="s">
        <v>108</v>
      </c>
      <c r="C163" s="4" t="s">
        <v>177</v>
      </c>
      <c r="D163" s="2" t="s">
        <v>178</v>
      </c>
      <c r="E163" s="2" t="s">
        <v>179</v>
      </c>
      <c r="F163" s="2" t="s">
        <v>180</v>
      </c>
    </row>
    <row r="164" spans="1:6">
      <c r="A164" s="3" t="s">
        <v>656</v>
      </c>
      <c r="B164" s="3" t="s">
        <v>108</v>
      </c>
      <c r="C164" s="4" t="s">
        <v>181</v>
      </c>
      <c r="D164" s="2" t="s">
        <v>182</v>
      </c>
      <c r="E164" s="2" t="s">
        <v>183</v>
      </c>
      <c r="F164" s="2" t="s">
        <v>184</v>
      </c>
    </row>
    <row r="165" spans="1:6">
      <c r="A165" s="3" t="s">
        <v>656</v>
      </c>
      <c r="B165" s="3" t="s">
        <v>108</v>
      </c>
      <c r="C165" s="4" t="s">
        <v>189</v>
      </c>
      <c r="D165" s="2" t="s">
        <v>190</v>
      </c>
      <c r="E165" s="2" t="s">
        <v>191</v>
      </c>
      <c r="F165" s="2" t="s">
        <v>192</v>
      </c>
    </row>
    <row r="166" spans="1:6">
      <c r="A166" s="3" t="s">
        <v>656</v>
      </c>
      <c r="B166" s="3" t="s">
        <v>108</v>
      </c>
      <c r="C166" s="4" t="s">
        <v>204</v>
      </c>
      <c r="D166" s="2" t="s">
        <v>205</v>
      </c>
      <c r="E166" s="2" t="s">
        <v>206</v>
      </c>
      <c r="F166" s="2" t="s">
        <v>207</v>
      </c>
    </row>
    <row r="167" spans="1:6">
      <c r="A167" s="3" t="s">
        <v>656</v>
      </c>
      <c r="B167" s="3" t="s">
        <v>108</v>
      </c>
      <c r="C167" s="4" t="s">
        <v>208</v>
      </c>
      <c r="D167" s="2" t="s">
        <v>209</v>
      </c>
      <c r="E167" s="2" t="s">
        <v>210</v>
      </c>
      <c r="F167" s="2" t="s">
        <v>211</v>
      </c>
    </row>
    <row r="168" spans="1:6">
      <c r="A168" s="3" t="s">
        <v>656</v>
      </c>
      <c r="B168" s="3" t="s">
        <v>108</v>
      </c>
      <c r="C168" s="4" t="s">
        <v>224</v>
      </c>
      <c r="D168" s="2" t="s">
        <v>225</v>
      </c>
      <c r="E168" s="2" t="s">
        <v>226</v>
      </c>
      <c r="F168" s="2" t="s">
        <v>227</v>
      </c>
    </row>
    <row r="169" spans="1:6">
      <c r="A169" s="3" t="s">
        <v>656</v>
      </c>
      <c r="B169" s="3" t="s">
        <v>108</v>
      </c>
      <c r="C169" s="4" t="s">
        <v>228</v>
      </c>
      <c r="D169" s="2" t="s">
        <v>229</v>
      </c>
      <c r="E169" s="2" t="s">
        <v>230</v>
      </c>
      <c r="F169" s="2" t="s">
        <v>229</v>
      </c>
    </row>
    <row r="170" spans="1:6">
      <c r="A170" s="3" t="s">
        <v>656</v>
      </c>
      <c r="B170" s="3" t="s">
        <v>108</v>
      </c>
      <c r="C170" s="4" t="s">
        <v>231</v>
      </c>
      <c r="D170" s="2" t="s">
        <v>232</v>
      </c>
      <c r="E170" s="2" t="s">
        <v>233</v>
      </c>
      <c r="F170" s="2" t="s">
        <v>234</v>
      </c>
    </row>
    <row r="171" spans="1:6">
      <c r="A171" s="3" t="s">
        <v>656</v>
      </c>
      <c r="B171" s="3" t="s">
        <v>108</v>
      </c>
      <c r="C171" s="4" t="s">
        <v>665</v>
      </c>
      <c r="D171" s="2" t="s">
        <v>666</v>
      </c>
      <c r="E171" s="2" t="s">
        <v>667</v>
      </c>
      <c r="F171" s="2" t="s">
        <v>668</v>
      </c>
    </row>
    <row r="172" spans="1:6">
      <c r="A172" s="3" t="s">
        <v>656</v>
      </c>
      <c r="B172" s="3" t="s">
        <v>108</v>
      </c>
      <c r="C172" s="4" t="s">
        <v>669</v>
      </c>
      <c r="D172" s="2" t="s">
        <v>670</v>
      </c>
      <c r="E172" s="2" t="s">
        <v>671</v>
      </c>
      <c r="F172" s="2" t="s">
        <v>672</v>
      </c>
    </row>
    <row r="173" spans="1:6">
      <c r="A173" s="3" t="s">
        <v>656</v>
      </c>
      <c r="B173" s="3" t="s">
        <v>108</v>
      </c>
      <c r="C173" s="4" t="s">
        <v>267</v>
      </c>
      <c r="D173" s="2" t="s">
        <v>268</v>
      </c>
      <c r="E173" s="2" t="s">
        <v>269</v>
      </c>
      <c r="F173" s="2" t="s">
        <v>268</v>
      </c>
    </row>
    <row r="174" spans="1:6">
      <c r="A174" s="3" t="s">
        <v>656</v>
      </c>
      <c r="B174" s="3" t="s">
        <v>108</v>
      </c>
      <c r="C174" s="4" t="s">
        <v>270</v>
      </c>
      <c r="D174" s="2" t="s">
        <v>271</v>
      </c>
      <c r="E174" s="2" t="s">
        <v>272</v>
      </c>
      <c r="F174" s="2" t="s">
        <v>271</v>
      </c>
    </row>
    <row r="175" spans="1:6">
      <c r="A175" s="3" t="s">
        <v>656</v>
      </c>
      <c r="B175" s="3" t="s">
        <v>108</v>
      </c>
      <c r="C175" s="4" t="s">
        <v>273</v>
      </c>
      <c r="D175" s="2" t="s">
        <v>274</v>
      </c>
      <c r="E175" s="2" t="s">
        <v>275</v>
      </c>
      <c r="F175" s="2" t="s">
        <v>274</v>
      </c>
    </row>
    <row r="176" spans="1:6">
      <c r="A176" s="3" t="s">
        <v>656</v>
      </c>
      <c r="B176" s="3" t="s">
        <v>108</v>
      </c>
      <c r="C176" s="4" t="s">
        <v>276</v>
      </c>
      <c r="D176" s="2" t="s">
        <v>277</v>
      </c>
      <c r="E176" s="2" t="s">
        <v>278</v>
      </c>
      <c r="F176" s="2" t="s">
        <v>277</v>
      </c>
    </row>
    <row r="177" spans="1:6">
      <c r="A177" s="3" t="s">
        <v>656</v>
      </c>
      <c r="B177" s="3" t="s">
        <v>108</v>
      </c>
      <c r="C177" s="4" t="s">
        <v>279</v>
      </c>
      <c r="D177" s="2" t="s">
        <v>280</v>
      </c>
      <c r="E177" s="2" t="s">
        <v>281</v>
      </c>
      <c r="F177" s="2" t="s">
        <v>282</v>
      </c>
    </row>
    <row r="178" spans="1:6">
      <c r="A178" s="3" t="s">
        <v>656</v>
      </c>
      <c r="B178" s="3" t="s">
        <v>108</v>
      </c>
      <c r="C178" s="4" t="s">
        <v>673</v>
      </c>
      <c r="D178" s="2" t="s">
        <v>674</v>
      </c>
      <c r="E178" s="2" t="s">
        <v>675</v>
      </c>
      <c r="F178" s="2" t="s">
        <v>676</v>
      </c>
    </row>
    <row r="179" spans="1:6">
      <c r="A179" s="3" t="s">
        <v>656</v>
      </c>
      <c r="B179" s="3" t="s">
        <v>108</v>
      </c>
      <c r="C179" s="4" t="s">
        <v>346</v>
      </c>
      <c r="D179" s="2" t="s">
        <v>347</v>
      </c>
      <c r="E179" s="2" t="s">
        <v>348</v>
      </c>
      <c r="F179" s="2" t="s">
        <v>349</v>
      </c>
    </row>
    <row r="180" spans="1:6">
      <c r="A180" s="3" t="s">
        <v>656</v>
      </c>
      <c r="B180" s="3" t="s">
        <v>108</v>
      </c>
      <c r="C180" s="4" t="s">
        <v>677</v>
      </c>
      <c r="D180" s="2" t="s">
        <v>678</v>
      </c>
      <c r="E180" s="2" t="s">
        <v>679</v>
      </c>
      <c r="F180" s="2" t="s">
        <v>680</v>
      </c>
    </row>
    <row r="181" spans="1:6">
      <c r="A181" s="3" t="s">
        <v>114</v>
      </c>
      <c r="B181" s="3" t="s">
        <v>114</v>
      </c>
      <c r="C181" s="4" t="s">
        <v>116</v>
      </c>
      <c r="D181" s="2" t="s">
        <v>67</v>
      </c>
      <c r="E181" s="2" t="s">
        <v>117</v>
      </c>
      <c r="F181" s="2" t="s">
        <v>118</v>
      </c>
    </row>
    <row r="182" spans="1:6">
      <c r="A182" s="3" t="s">
        <v>114</v>
      </c>
      <c r="B182" s="3" t="s">
        <v>114</v>
      </c>
      <c r="C182" s="4" t="s">
        <v>119</v>
      </c>
      <c r="D182" s="2" t="s">
        <v>69</v>
      </c>
      <c r="E182" s="2" t="s">
        <v>63</v>
      </c>
      <c r="F182" s="2" t="s">
        <v>120</v>
      </c>
    </row>
    <row r="183" spans="1:6">
      <c r="A183" s="3" t="s">
        <v>114</v>
      </c>
      <c r="B183" s="3" t="s">
        <v>114</v>
      </c>
      <c r="C183" s="4" t="s">
        <v>121</v>
      </c>
      <c r="D183" s="2" t="s">
        <v>122</v>
      </c>
      <c r="E183" s="2" t="s">
        <v>123</v>
      </c>
      <c r="F183" s="2" t="s">
        <v>124</v>
      </c>
    </row>
    <row r="184" spans="1:6">
      <c r="A184" s="3" t="s">
        <v>114</v>
      </c>
      <c r="B184" s="3" t="s">
        <v>114</v>
      </c>
      <c r="C184" s="4" t="s">
        <v>125</v>
      </c>
      <c r="D184" s="2" t="s">
        <v>126</v>
      </c>
      <c r="E184" s="2" t="s">
        <v>127</v>
      </c>
      <c r="F184" s="2" t="s">
        <v>128</v>
      </c>
    </row>
    <row r="185" spans="1:6">
      <c r="A185" s="3" t="s">
        <v>114</v>
      </c>
      <c r="B185" s="3" t="s">
        <v>114</v>
      </c>
      <c r="C185" s="4" t="s">
        <v>661</v>
      </c>
      <c r="D185" s="2" t="s">
        <v>662</v>
      </c>
      <c r="E185" s="2" t="s">
        <v>663</v>
      </c>
      <c r="F185" s="2" t="s">
        <v>664</v>
      </c>
    </row>
    <row r="186" spans="1:6">
      <c r="A186" s="3" t="s">
        <v>114</v>
      </c>
      <c r="B186" s="3" t="s">
        <v>114</v>
      </c>
      <c r="C186" s="4" t="s">
        <v>129</v>
      </c>
      <c r="D186" s="2" t="s">
        <v>73</v>
      </c>
      <c r="E186" s="2" t="s">
        <v>130</v>
      </c>
      <c r="F186" s="2" t="s">
        <v>131</v>
      </c>
    </row>
    <row r="187" spans="1:6">
      <c r="A187" s="3" t="s">
        <v>114</v>
      </c>
      <c r="B187" s="3" t="s">
        <v>114</v>
      </c>
      <c r="C187" s="4" t="s">
        <v>132</v>
      </c>
      <c r="D187" s="2" t="s">
        <v>70</v>
      </c>
      <c r="E187" s="2" t="s">
        <v>133</v>
      </c>
      <c r="F187" s="2" t="s">
        <v>134</v>
      </c>
    </row>
    <row r="188" spans="1:6">
      <c r="A188" s="3" t="s">
        <v>114</v>
      </c>
      <c r="B188" s="3" t="s">
        <v>114</v>
      </c>
      <c r="C188" s="4" t="s">
        <v>139</v>
      </c>
      <c r="D188" s="2" t="s">
        <v>139</v>
      </c>
      <c r="E188" s="2" t="s">
        <v>140</v>
      </c>
      <c r="F188" s="2" t="s">
        <v>141</v>
      </c>
    </row>
    <row r="189" spans="1:6">
      <c r="A189" s="3" t="s">
        <v>114</v>
      </c>
      <c r="B189" s="3" t="s">
        <v>114</v>
      </c>
      <c r="C189" s="4" t="s">
        <v>142</v>
      </c>
      <c r="D189" s="2" t="s">
        <v>143</v>
      </c>
      <c r="E189" s="2" t="s">
        <v>144</v>
      </c>
      <c r="F189" s="2" t="s">
        <v>145</v>
      </c>
    </row>
    <row r="190" spans="1:6">
      <c r="A190" s="3" t="s">
        <v>114</v>
      </c>
      <c r="B190" s="3" t="s">
        <v>114</v>
      </c>
      <c r="C190" s="4" t="s">
        <v>146</v>
      </c>
      <c r="D190" s="2" t="s">
        <v>147</v>
      </c>
      <c r="E190" s="2" t="s">
        <v>148</v>
      </c>
      <c r="F190" s="2" t="s">
        <v>149</v>
      </c>
    </row>
    <row r="191" spans="1:6">
      <c r="A191" s="3" t="s">
        <v>114</v>
      </c>
      <c r="B191" s="3" t="s">
        <v>114</v>
      </c>
      <c r="C191" s="4" t="s">
        <v>681</v>
      </c>
      <c r="D191" s="2" t="s">
        <v>682</v>
      </c>
      <c r="E191" s="2" t="s">
        <v>683</v>
      </c>
      <c r="F191" s="2" t="s">
        <v>684</v>
      </c>
    </row>
    <row r="192" spans="1:6">
      <c r="A192" s="3" t="s">
        <v>114</v>
      </c>
      <c r="B192" s="3" t="s">
        <v>114</v>
      </c>
      <c r="C192" s="4" t="s">
        <v>685</v>
      </c>
      <c r="D192" s="2" t="s">
        <v>686</v>
      </c>
      <c r="E192" s="2" t="s">
        <v>687</v>
      </c>
      <c r="F192" s="2" t="s">
        <v>686</v>
      </c>
    </row>
    <row r="193" spans="1:6">
      <c r="A193" s="3" t="s">
        <v>114</v>
      </c>
      <c r="B193" s="3" t="s">
        <v>114</v>
      </c>
      <c r="C193" s="4" t="s">
        <v>158</v>
      </c>
      <c r="D193" s="2" t="s">
        <v>159</v>
      </c>
      <c r="E193" s="2" t="s">
        <v>160</v>
      </c>
      <c r="F193" s="2" t="s">
        <v>159</v>
      </c>
    </row>
    <row r="194" spans="1:6">
      <c r="A194" s="3" t="s">
        <v>114</v>
      </c>
      <c r="B194" s="3" t="s">
        <v>114</v>
      </c>
      <c r="C194" s="4" t="s">
        <v>161</v>
      </c>
      <c r="D194" s="2" t="s">
        <v>162</v>
      </c>
      <c r="E194" s="2" t="s">
        <v>163</v>
      </c>
      <c r="F194" s="2" t="s">
        <v>162</v>
      </c>
    </row>
    <row r="195" spans="1:6">
      <c r="A195" s="3" t="s">
        <v>114</v>
      </c>
      <c r="B195" s="3" t="s">
        <v>114</v>
      </c>
      <c r="C195" s="4" t="s">
        <v>688</v>
      </c>
      <c r="D195" s="2" t="s">
        <v>689</v>
      </c>
      <c r="E195" s="2" t="s">
        <v>690</v>
      </c>
      <c r="F195" s="2" t="s">
        <v>691</v>
      </c>
    </row>
    <row r="196" spans="1:6">
      <c r="A196" s="3" t="s">
        <v>114</v>
      </c>
      <c r="B196" s="3" t="s">
        <v>114</v>
      </c>
      <c r="C196" s="4" t="s">
        <v>692</v>
      </c>
      <c r="D196" s="2" t="s">
        <v>693</v>
      </c>
      <c r="E196" s="2" t="s">
        <v>694</v>
      </c>
      <c r="F196" s="2" t="s">
        <v>695</v>
      </c>
    </row>
    <row r="197" spans="1:6">
      <c r="A197" s="3" t="s">
        <v>114</v>
      </c>
      <c r="B197" s="3" t="s">
        <v>114</v>
      </c>
      <c r="C197" s="4" t="s">
        <v>164</v>
      </c>
      <c r="D197" s="2" t="s">
        <v>60</v>
      </c>
      <c r="E197" s="2" t="s">
        <v>165</v>
      </c>
      <c r="F197" s="2" t="s">
        <v>166</v>
      </c>
    </row>
    <row r="198" spans="1:6">
      <c r="A198" s="3" t="s">
        <v>114</v>
      </c>
      <c r="B198" s="3" t="s">
        <v>114</v>
      </c>
      <c r="C198" s="4" t="s">
        <v>167</v>
      </c>
      <c r="D198" s="2" t="s">
        <v>61</v>
      </c>
      <c r="E198" s="2" t="s">
        <v>168</v>
      </c>
      <c r="F198" s="2" t="s">
        <v>169</v>
      </c>
    </row>
    <row r="199" spans="1:6">
      <c r="A199" s="3" t="s">
        <v>114</v>
      </c>
      <c r="B199" s="3" t="s">
        <v>114</v>
      </c>
      <c r="C199" s="4" t="s">
        <v>170</v>
      </c>
      <c r="D199" s="2" t="s">
        <v>68</v>
      </c>
      <c r="E199" s="2" t="s">
        <v>171</v>
      </c>
      <c r="F199" s="2" t="s">
        <v>172</v>
      </c>
    </row>
    <row r="200" spans="1:6">
      <c r="A200" s="3" t="s">
        <v>114</v>
      </c>
      <c r="B200" s="3" t="s">
        <v>114</v>
      </c>
      <c r="C200" s="4" t="s">
        <v>173</v>
      </c>
      <c r="D200" s="2" t="s">
        <v>174</v>
      </c>
      <c r="E200" s="2" t="s">
        <v>175</v>
      </c>
      <c r="F200" s="2" t="s">
        <v>176</v>
      </c>
    </row>
    <row r="201" spans="1:6">
      <c r="A201" s="3" t="s">
        <v>114</v>
      </c>
      <c r="B201" s="3" t="s">
        <v>114</v>
      </c>
      <c r="C201" s="4" t="s">
        <v>177</v>
      </c>
      <c r="D201" s="2" t="s">
        <v>178</v>
      </c>
      <c r="E201" s="2" t="s">
        <v>179</v>
      </c>
      <c r="F201" s="2" t="s">
        <v>180</v>
      </c>
    </row>
    <row r="202" spans="1:6">
      <c r="A202" s="3" t="s">
        <v>114</v>
      </c>
      <c r="B202" s="3" t="s">
        <v>114</v>
      </c>
      <c r="C202" s="4" t="s">
        <v>181</v>
      </c>
      <c r="D202" s="2" t="s">
        <v>182</v>
      </c>
      <c r="E202" s="2" t="s">
        <v>183</v>
      </c>
      <c r="F202" s="2" t="s">
        <v>184</v>
      </c>
    </row>
    <row r="203" spans="1:6">
      <c r="A203" s="3" t="s">
        <v>114</v>
      </c>
      <c r="B203" s="3" t="s">
        <v>114</v>
      </c>
      <c r="C203" s="4" t="s">
        <v>189</v>
      </c>
      <c r="D203" s="2" t="s">
        <v>190</v>
      </c>
      <c r="E203" s="2" t="s">
        <v>191</v>
      </c>
      <c r="F203" s="2" t="s">
        <v>192</v>
      </c>
    </row>
    <row r="204" spans="1:6">
      <c r="A204" s="3" t="s">
        <v>114</v>
      </c>
      <c r="B204" s="3" t="s">
        <v>114</v>
      </c>
      <c r="C204" s="4" t="s">
        <v>201</v>
      </c>
      <c r="D204" s="2" t="s">
        <v>202</v>
      </c>
      <c r="E204" s="2" t="s">
        <v>203</v>
      </c>
      <c r="F204" s="2" t="s">
        <v>202</v>
      </c>
    </row>
    <row r="205" spans="1:6">
      <c r="A205" s="3" t="s">
        <v>114</v>
      </c>
      <c r="B205" s="3" t="s">
        <v>114</v>
      </c>
      <c r="C205" s="4" t="s">
        <v>204</v>
      </c>
      <c r="D205" s="2" t="s">
        <v>205</v>
      </c>
      <c r="E205" s="2" t="s">
        <v>206</v>
      </c>
      <c r="F205" s="2" t="s">
        <v>207</v>
      </c>
    </row>
    <row r="206" spans="1:6">
      <c r="A206" s="3" t="s">
        <v>114</v>
      </c>
      <c r="B206" s="3" t="s">
        <v>114</v>
      </c>
      <c r="C206" s="4" t="s">
        <v>208</v>
      </c>
      <c r="D206" s="2" t="s">
        <v>209</v>
      </c>
      <c r="E206" s="2" t="s">
        <v>210</v>
      </c>
      <c r="F206" s="2" t="s">
        <v>211</v>
      </c>
    </row>
    <row r="207" spans="1:6">
      <c r="A207" s="3" t="s">
        <v>114</v>
      </c>
      <c r="B207" s="3" t="s">
        <v>114</v>
      </c>
      <c r="C207" s="4" t="s">
        <v>212</v>
      </c>
      <c r="D207" s="2" t="s">
        <v>213</v>
      </c>
      <c r="E207" s="2" t="s">
        <v>214</v>
      </c>
      <c r="F207" s="2" t="s">
        <v>215</v>
      </c>
    </row>
    <row r="208" spans="1:6">
      <c r="A208" s="3" t="s">
        <v>114</v>
      </c>
      <c r="B208" s="3" t="s">
        <v>114</v>
      </c>
      <c r="C208" s="4" t="s">
        <v>216</v>
      </c>
      <c r="D208" s="2" t="s">
        <v>217</v>
      </c>
      <c r="E208" s="2" t="s">
        <v>218</v>
      </c>
      <c r="F208" s="2" t="s">
        <v>219</v>
      </c>
    </row>
    <row r="209" spans="1:6">
      <c r="A209" s="3" t="s">
        <v>114</v>
      </c>
      <c r="B209" s="3" t="s">
        <v>114</v>
      </c>
      <c r="C209" s="4" t="s">
        <v>220</v>
      </c>
      <c r="D209" s="2" t="s">
        <v>221</v>
      </c>
      <c r="E209" s="2" t="s">
        <v>222</v>
      </c>
      <c r="F209" s="2" t="s">
        <v>223</v>
      </c>
    </row>
    <row r="210" spans="1:6">
      <c r="A210" s="3" t="s">
        <v>114</v>
      </c>
      <c r="B210" s="3" t="s">
        <v>114</v>
      </c>
      <c r="C210" s="4" t="s">
        <v>228</v>
      </c>
      <c r="D210" s="2" t="s">
        <v>229</v>
      </c>
      <c r="E210" s="2" t="s">
        <v>230</v>
      </c>
      <c r="F210" s="2" t="s">
        <v>229</v>
      </c>
    </row>
    <row r="211" spans="1:6">
      <c r="A211" s="3" t="s">
        <v>114</v>
      </c>
      <c r="B211" s="3" t="s">
        <v>114</v>
      </c>
      <c r="C211" s="4" t="s">
        <v>231</v>
      </c>
      <c r="D211" s="2" t="s">
        <v>232</v>
      </c>
      <c r="E211" s="2" t="s">
        <v>233</v>
      </c>
      <c r="F211" s="2" t="s">
        <v>234</v>
      </c>
    </row>
    <row r="212" spans="1:6">
      <c r="A212" s="3" t="s">
        <v>114</v>
      </c>
      <c r="B212" s="3" t="s">
        <v>114</v>
      </c>
      <c r="C212" s="4" t="s">
        <v>239</v>
      </c>
      <c r="D212" s="2" t="s">
        <v>240</v>
      </c>
      <c r="E212" s="2" t="s">
        <v>241</v>
      </c>
      <c r="F212" s="2" t="s">
        <v>242</v>
      </c>
    </row>
    <row r="213" spans="1:6">
      <c r="A213" s="3" t="s">
        <v>114</v>
      </c>
      <c r="B213" s="3" t="s">
        <v>114</v>
      </c>
      <c r="C213" s="4" t="s">
        <v>665</v>
      </c>
      <c r="D213" s="2" t="s">
        <v>666</v>
      </c>
      <c r="E213" s="2" t="s">
        <v>667</v>
      </c>
      <c r="F213" s="2" t="s">
        <v>668</v>
      </c>
    </row>
    <row r="214" spans="1:6">
      <c r="A214" s="3" t="s">
        <v>114</v>
      </c>
      <c r="B214" s="3" t="s">
        <v>114</v>
      </c>
      <c r="C214" s="4" t="s">
        <v>669</v>
      </c>
      <c r="D214" s="2" t="s">
        <v>670</v>
      </c>
      <c r="E214" s="2" t="s">
        <v>671</v>
      </c>
      <c r="F214" s="2" t="s">
        <v>672</v>
      </c>
    </row>
    <row r="215" spans="1:6">
      <c r="A215" s="3" t="s">
        <v>114</v>
      </c>
      <c r="B215" s="3" t="s">
        <v>114</v>
      </c>
      <c r="C215" s="4" t="s">
        <v>267</v>
      </c>
      <c r="D215" s="2" t="s">
        <v>268</v>
      </c>
      <c r="E215" s="2" t="s">
        <v>269</v>
      </c>
      <c r="F215" s="2" t="s">
        <v>268</v>
      </c>
    </row>
    <row r="216" spans="1:6">
      <c r="A216" s="3" t="s">
        <v>114</v>
      </c>
      <c r="B216" s="3" t="s">
        <v>114</v>
      </c>
      <c r="C216" s="4" t="s">
        <v>270</v>
      </c>
      <c r="D216" s="2" t="s">
        <v>271</v>
      </c>
      <c r="E216" s="2" t="s">
        <v>272</v>
      </c>
      <c r="F216" s="2" t="s">
        <v>271</v>
      </c>
    </row>
    <row r="217" spans="1:6">
      <c r="A217" s="3" t="s">
        <v>114</v>
      </c>
      <c r="B217" s="3" t="s">
        <v>114</v>
      </c>
      <c r="C217" s="4" t="s">
        <v>273</v>
      </c>
      <c r="D217" s="2" t="s">
        <v>274</v>
      </c>
      <c r="E217" s="2" t="s">
        <v>275</v>
      </c>
      <c r="F217" s="2" t="s">
        <v>274</v>
      </c>
    </row>
    <row r="218" spans="1:6">
      <c r="A218" s="3" t="s">
        <v>114</v>
      </c>
      <c r="B218" s="3" t="s">
        <v>114</v>
      </c>
      <c r="C218" s="4" t="s">
        <v>276</v>
      </c>
      <c r="D218" s="2" t="s">
        <v>277</v>
      </c>
      <c r="E218" s="2" t="s">
        <v>278</v>
      </c>
      <c r="F218" s="2" t="s">
        <v>277</v>
      </c>
    </row>
    <row r="219" spans="1:6">
      <c r="A219" s="3" t="s">
        <v>114</v>
      </c>
      <c r="B219" s="3" t="s">
        <v>114</v>
      </c>
      <c r="C219" s="4" t="s">
        <v>279</v>
      </c>
      <c r="D219" s="2" t="s">
        <v>280</v>
      </c>
      <c r="E219" s="2" t="s">
        <v>281</v>
      </c>
      <c r="F219" s="2" t="s">
        <v>282</v>
      </c>
    </row>
    <row r="220" spans="1:6">
      <c r="A220" s="3" t="s">
        <v>114</v>
      </c>
      <c r="B220" s="3" t="s">
        <v>114</v>
      </c>
      <c r="C220" s="4" t="s">
        <v>291</v>
      </c>
      <c r="D220" s="2" t="s">
        <v>292</v>
      </c>
      <c r="E220" s="2" t="s">
        <v>293</v>
      </c>
      <c r="F220" s="2" t="s">
        <v>294</v>
      </c>
    </row>
    <row r="221" spans="1:6">
      <c r="A221" s="3" t="s">
        <v>114</v>
      </c>
      <c r="B221" s="3" t="s">
        <v>114</v>
      </c>
      <c r="C221" s="4" t="s">
        <v>295</v>
      </c>
      <c r="D221" s="2" t="s">
        <v>296</v>
      </c>
      <c r="E221" s="2" t="s">
        <v>297</v>
      </c>
      <c r="F221" s="2" t="s">
        <v>298</v>
      </c>
    </row>
    <row r="222" spans="1:6">
      <c r="A222" s="3" t="s">
        <v>114</v>
      </c>
      <c r="B222" s="3" t="s">
        <v>114</v>
      </c>
      <c r="C222" s="4" t="s">
        <v>299</v>
      </c>
      <c r="D222" s="2" t="s">
        <v>300</v>
      </c>
      <c r="E222" s="2" t="s">
        <v>301</v>
      </c>
      <c r="F222" s="2" t="s">
        <v>302</v>
      </c>
    </row>
    <row r="223" spans="1:6">
      <c r="A223" s="3" t="s">
        <v>114</v>
      </c>
      <c r="B223" s="3" t="s">
        <v>114</v>
      </c>
      <c r="C223" s="4" t="s">
        <v>303</v>
      </c>
      <c r="D223" s="2" t="s">
        <v>304</v>
      </c>
      <c r="E223" s="2" t="s">
        <v>305</v>
      </c>
      <c r="F223" s="2" t="s">
        <v>306</v>
      </c>
    </row>
    <row r="224" spans="1:6">
      <c r="A224" s="3" t="s">
        <v>114</v>
      </c>
      <c r="B224" s="3" t="s">
        <v>114</v>
      </c>
      <c r="C224" s="4" t="s">
        <v>311</v>
      </c>
      <c r="D224" s="2" t="s">
        <v>312</v>
      </c>
      <c r="E224" s="2" t="s">
        <v>313</v>
      </c>
      <c r="F224" s="2" t="s">
        <v>314</v>
      </c>
    </row>
    <row r="225" spans="1:6">
      <c r="A225" s="3" t="s">
        <v>114</v>
      </c>
      <c r="B225" s="3" t="s">
        <v>114</v>
      </c>
      <c r="C225" s="4" t="s">
        <v>323</v>
      </c>
      <c r="D225" s="2" t="s">
        <v>324</v>
      </c>
      <c r="E225" s="2" t="s">
        <v>325</v>
      </c>
      <c r="F225" s="2" t="s">
        <v>326</v>
      </c>
    </row>
    <row r="226" spans="1:6">
      <c r="A226" s="3" t="s">
        <v>114</v>
      </c>
      <c r="B226" s="3" t="s">
        <v>114</v>
      </c>
      <c r="C226" s="4" t="s">
        <v>327</v>
      </c>
      <c r="D226" s="2" t="s">
        <v>328</v>
      </c>
      <c r="E226" s="2" t="s">
        <v>329</v>
      </c>
      <c r="F226" s="2" t="s">
        <v>330</v>
      </c>
    </row>
    <row r="227" spans="1:6">
      <c r="A227" s="3" t="s">
        <v>114</v>
      </c>
      <c r="B227" s="3" t="s">
        <v>114</v>
      </c>
      <c r="C227" s="4" t="s">
        <v>696</v>
      </c>
      <c r="D227" s="2" t="s">
        <v>697</v>
      </c>
      <c r="E227" s="2" t="s">
        <v>698</v>
      </c>
      <c r="F227" s="2" t="s">
        <v>699</v>
      </c>
    </row>
    <row r="228" spans="1:6">
      <c r="A228" s="3" t="s">
        <v>114</v>
      </c>
      <c r="B228" s="3" t="s">
        <v>114</v>
      </c>
      <c r="C228" s="4" t="s">
        <v>700</v>
      </c>
      <c r="D228" s="2" t="s">
        <v>701</v>
      </c>
      <c r="E228" s="2" t="s">
        <v>702</v>
      </c>
      <c r="F228" s="2" t="s">
        <v>703</v>
      </c>
    </row>
    <row r="229" spans="1:6">
      <c r="A229" s="3" t="s">
        <v>114</v>
      </c>
      <c r="B229" s="3" t="s">
        <v>114</v>
      </c>
      <c r="C229" s="4" t="s">
        <v>704</v>
      </c>
      <c r="D229" s="2" t="s">
        <v>705</v>
      </c>
      <c r="E229" s="2" t="s">
        <v>706</v>
      </c>
      <c r="F229" s="2" t="s">
        <v>707</v>
      </c>
    </row>
    <row r="230" spans="1:6">
      <c r="A230" s="3" t="s">
        <v>114</v>
      </c>
      <c r="B230" s="3" t="s">
        <v>114</v>
      </c>
      <c r="C230" s="4" t="s">
        <v>708</v>
      </c>
      <c r="D230" s="2" t="s">
        <v>709</v>
      </c>
      <c r="E230" s="2" t="s">
        <v>710</v>
      </c>
      <c r="F230" s="2" t="s">
        <v>711</v>
      </c>
    </row>
    <row r="231" spans="1:6">
      <c r="A231" s="3" t="s">
        <v>114</v>
      </c>
      <c r="B231" s="3" t="s">
        <v>114</v>
      </c>
      <c r="C231" s="4" t="s">
        <v>712</v>
      </c>
      <c r="D231" s="2" t="s">
        <v>713</v>
      </c>
      <c r="E231" s="2" t="s">
        <v>714</v>
      </c>
      <c r="F231" s="2" t="s">
        <v>715</v>
      </c>
    </row>
    <row r="232" spans="1:6">
      <c r="A232" s="3" t="s">
        <v>114</v>
      </c>
      <c r="B232" s="3" t="s">
        <v>114</v>
      </c>
      <c r="C232" s="4" t="s">
        <v>716</v>
      </c>
      <c r="D232" s="2" t="s">
        <v>717</v>
      </c>
      <c r="E232" s="2" t="s">
        <v>718</v>
      </c>
      <c r="F232" s="2" t="s">
        <v>719</v>
      </c>
    </row>
    <row r="233" spans="1:6">
      <c r="A233" s="3" t="s">
        <v>114</v>
      </c>
      <c r="B233" s="3" t="s">
        <v>114</v>
      </c>
      <c r="C233" s="4" t="s">
        <v>720</v>
      </c>
      <c r="D233" s="2" t="s">
        <v>721</v>
      </c>
      <c r="E233" s="2" t="s">
        <v>722</v>
      </c>
      <c r="F233" s="2" t="s">
        <v>723</v>
      </c>
    </row>
    <row r="234" spans="1:6">
      <c r="A234" s="3" t="s">
        <v>114</v>
      </c>
      <c r="B234" s="3" t="s">
        <v>114</v>
      </c>
      <c r="C234" s="4" t="s">
        <v>724</v>
      </c>
      <c r="D234" s="2" t="s">
        <v>725</v>
      </c>
      <c r="E234" s="2" t="s">
        <v>726</v>
      </c>
      <c r="F234" s="2" t="s">
        <v>727</v>
      </c>
    </row>
    <row r="235" spans="1:6">
      <c r="A235" s="3" t="s">
        <v>114</v>
      </c>
      <c r="B235" s="3" t="s">
        <v>114</v>
      </c>
      <c r="C235" s="4" t="s">
        <v>728</v>
      </c>
      <c r="D235" s="2" t="s">
        <v>729</v>
      </c>
      <c r="E235" s="2" t="s">
        <v>730</v>
      </c>
      <c r="F235" s="2" t="s">
        <v>731</v>
      </c>
    </row>
    <row r="236" spans="1:6">
      <c r="A236" s="3" t="s">
        <v>114</v>
      </c>
      <c r="B236" s="3" t="s">
        <v>114</v>
      </c>
      <c r="C236" s="4" t="s">
        <v>732</v>
      </c>
      <c r="D236" s="2" t="s">
        <v>733</v>
      </c>
      <c r="E236" s="2" t="s">
        <v>734</v>
      </c>
      <c r="F236" s="2" t="s">
        <v>735</v>
      </c>
    </row>
    <row r="237" spans="1:6">
      <c r="A237" s="3" t="s">
        <v>114</v>
      </c>
      <c r="B237" s="3" t="s">
        <v>114</v>
      </c>
      <c r="C237" s="4" t="s">
        <v>736</v>
      </c>
      <c r="D237" s="2" t="s">
        <v>737</v>
      </c>
      <c r="E237" s="2" t="s">
        <v>738</v>
      </c>
      <c r="F237" s="2" t="s">
        <v>739</v>
      </c>
    </row>
    <row r="238" spans="1:6">
      <c r="A238" s="3" t="s">
        <v>740</v>
      </c>
      <c r="B238" s="3" t="s">
        <v>86</v>
      </c>
      <c r="C238" s="4" t="s">
        <v>116</v>
      </c>
      <c r="D238" s="2" t="s">
        <v>67</v>
      </c>
      <c r="E238" s="2" t="s">
        <v>117</v>
      </c>
      <c r="F238" s="2" t="s">
        <v>118</v>
      </c>
    </row>
    <row r="239" spans="1:6">
      <c r="A239" s="3" t="s">
        <v>740</v>
      </c>
      <c r="B239" s="3" t="s">
        <v>86</v>
      </c>
      <c r="C239" s="4" t="s">
        <v>119</v>
      </c>
      <c r="D239" s="2" t="s">
        <v>69</v>
      </c>
      <c r="E239" s="2" t="s">
        <v>63</v>
      </c>
      <c r="F239" s="2" t="s">
        <v>120</v>
      </c>
    </row>
    <row r="240" spans="1:6">
      <c r="A240" s="3" t="s">
        <v>740</v>
      </c>
      <c r="B240" s="3" t="s">
        <v>86</v>
      </c>
      <c r="C240" s="4" t="s">
        <v>121</v>
      </c>
      <c r="D240" s="2" t="s">
        <v>122</v>
      </c>
      <c r="E240" s="2" t="s">
        <v>123</v>
      </c>
      <c r="F240" s="2" t="s">
        <v>124</v>
      </c>
    </row>
    <row r="241" spans="1:6">
      <c r="A241" s="3" t="s">
        <v>740</v>
      </c>
      <c r="B241" s="3" t="s">
        <v>86</v>
      </c>
      <c r="C241" s="4" t="s">
        <v>125</v>
      </c>
      <c r="D241" s="2" t="s">
        <v>126</v>
      </c>
      <c r="E241" s="2" t="s">
        <v>127</v>
      </c>
      <c r="F241" s="2" t="s">
        <v>128</v>
      </c>
    </row>
    <row r="242" spans="1:6">
      <c r="A242" s="3" t="s">
        <v>740</v>
      </c>
      <c r="B242" s="3" t="s">
        <v>86</v>
      </c>
      <c r="C242" s="4" t="s">
        <v>661</v>
      </c>
      <c r="D242" s="2" t="s">
        <v>662</v>
      </c>
      <c r="E242" s="2" t="s">
        <v>663</v>
      </c>
      <c r="F242" s="2" t="s">
        <v>664</v>
      </c>
    </row>
    <row r="243" spans="1:6">
      <c r="A243" s="3" t="s">
        <v>740</v>
      </c>
      <c r="B243" s="3" t="s">
        <v>86</v>
      </c>
      <c r="C243" s="4" t="s">
        <v>129</v>
      </c>
      <c r="D243" s="2" t="s">
        <v>73</v>
      </c>
      <c r="E243" s="2" t="s">
        <v>130</v>
      </c>
      <c r="F243" s="2" t="s">
        <v>131</v>
      </c>
    </row>
    <row r="244" spans="1:6">
      <c r="A244" s="3" t="s">
        <v>740</v>
      </c>
      <c r="B244" s="3" t="s">
        <v>86</v>
      </c>
      <c r="C244" s="4" t="s">
        <v>132</v>
      </c>
      <c r="D244" s="2" t="s">
        <v>70</v>
      </c>
      <c r="E244" s="2" t="s">
        <v>133</v>
      </c>
      <c r="F244" s="2" t="s">
        <v>134</v>
      </c>
    </row>
    <row r="245" spans="1:6">
      <c r="A245" s="3" t="s">
        <v>740</v>
      </c>
      <c r="B245" s="3" t="s">
        <v>86</v>
      </c>
      <c r="C245" s="4" t="s">
        <v>135</v>
      </c>
      <c r="D245" s="2" t="s">
        <v>136</v>
      </c>
      <c r="E245" s="2" t="s">
        <v>137</v>
      </c>
      <c r="F245" s="2" t="s">
        <v>138</v>
      </c>
    </row>
    <row r="246" spans="1:6">
      <c r="A246" s="3" t="s">
        <v>740</v>
      </c>
      <c r="B246" s="3" t="s">
        <v>86</v>
      </c>
      <c r="C246" s="4" t="s">
        <v>139</v>
      </c>
      <c r="D246" s="2" t="s">
        <v>139</v>
      </c>
      <c r="E246" s="2" t="s">
        <v>140</v>
      </c>
      <c r="F246" s="2" t="s">
        <v>141</v>
      </c>
    </row>
    <row r="247" spans="1:6">
      <c r="A247" s="3" t="s">
        <v>740</v>
      </c>
      <c r="B247" s="3" t="s">
        <v>86</v>
      </c>
      <c r="C247" s="4" t="s">
        <v>741</v>
      </c>
      <c r="D247" s="2" t="s">
        <v>742</v>
      </c>
      <c r="E247" s="2" t="s">
        <v>743</v>
      </c>
      <c r="F247" s="2" t="s">
        <v>744</v>
      </c>
    </row>
    <row r="248" spans="1:6">
      <c r="A248" s="3" t="s">
        <v>740</v>
      </c>
      <c r="B248" s="3" t="s">
        <v>86</v>
      </c>
      <c r="C248" s="4" t="s">
        <v>745</v>
      </c>
      <c r="D248" s="2" t="s">
        <v>746</v>
      </c>
      <c r="E248" s="2" t="s">
        <v>747</v>
      </c>
      <c r="F248" s="2" t="s">
        <v>748</v>
      </c>
    </row>
    <row r="249" spans="1:6">
      <c r="A249" s="3" t="s">
        <v>740</v>
      </c>
      <c r="B249" s="3" t="s">
        <v>86</v>
      </c>
      <c r="C249" s="4" t="s">
        <v>154</v>
      </c>
      <c r="D249" s="2" t="s">
        <v>155</v>
      </c>
      <c r="E249" s="2" t="s">
        <v>156</v>
      </c>
      <c r="F249" s="2" t="s">
        <v>157</v>
      </c>
    </row>
    <row r="250" spans="1:6">
      <c r="A250" s="3" t="s">
        <v>740</v>
      </c>
      <c r="B250" s="3" t="s">
        <v>86</v>
      </c>
      <c r="C250" s="4" t="s">
        <v>164</v>
      </c>
      <c r="D250" s="2" t="s">
        <v>60</v>
      </c>
      <c r="E250" s="2" t="s">
        <v>165</v>
      </c>
      <c r="F250" s="2" t="s">
        <v>166</v>
      </c>
    </row>
    <row r="251" spans="1:6">
      <c r="A251" s="3" t="s">
        <v>740</v>
      </c>
      <c r="B251" s="3" t="s">
        <v>86</v>
      </c>
      <c r="C251" s="4" t="s">
        <v>167</v>
      </c>
      <c r="D251" s="2" t="s">
        <v>61</v>
      </c>
      <c r="E251" s="2" t="s">
        <v>168</v>
      </c>
      <c r="F251" s="2" t="s">
        <v>169</v>
      </c>
    </row>
    <row r="252" spans="1:6">
      <c r="A252" s="3" t="s">
        <v>740</v>
      </c>
      <c r="B252" s="3" t="s">
        <v>86</v>
      </c>
      <c r="C252" s="4" t="s">
        <v>170</v>
      </c>
      <c r="D252" s="2" t="s">
        <v>68</v>
      </c>
      <c r="E252" s="2" t="s">
        <v>171</v>
      </c>
      <c r="F252" s="2" t="s">
        <v>172</v>
      </c>
    </row>
    <row r="253" spans="1:6">
      <c r="A253" s="3" t="s">
        <v>740</v>
      </c>
      <c r="B253" s="3" t="s">
        <v>86</v>
      </c>
      <c r="C253" s="4" t="s">
        <v>173</v>
      </c>
      <c r="D253" s="2" t="s">
        <v>174</v>
      </c>
      <c r="E253" s="2" t="s">
        <v>175</v>
      </c>
      <c r="F253" s="2" t="s">
        <v>176</v>
      </c>
    </row>
    <row r="254" spans="1:6">
      <c r="A254" s="3" t="s">
        <v>740</v>
      </c>
      <c r="B254" s="3" t="s">
        <v>86</v>
      </c>
      <c r="C254" s="4" t="s">
        <v>177</v>
      </c>
      <c r="D254" s="2" t="s">
        <v>178</v>
      </c>
      <c r="E254" s="2" t="s">
        <v>179</v>
      </c>
      <c r="F254" s="2" t="s">
        <v>180</v>
      </c>
    </row>
    <row r="255" spans="1:6">
      <c r="A255" s="3" t="s">
        <v>740</v>
      </c>
      <c r="B255" s="3" t="s">
        <v>86</v>
      </c>
      <c r="C255" s="4" t="s">
        <v>181</v>
      </c>
      <c r="D255" s="2" t="s">
        <v>182</v>
      </c>
      <c r="E255" s="2" t="s">
        <v>183</v>
      </c>
      <c r="F255" s="2" t="s">
        <v>184</v>
      </c>
    </row>
    <row r="256" spans="1:6">
      <c r="A256" s="3" t="s">
        <v>740</v>
      </c>
      <c r="B256" s="3" t="s">
        <v>86</v>
      </c>
      <c r="C256" s="4" t="s">
        <v>189</v>
      </c>
      <c r="D256" s="2" t="s">
        <v>190</v>
      </c>
      <c r="E256" s="2" t="s">
        <v>191</v>
      </c>
      <c r="F256" s="2" t="s">
        <v>192</v>
      </c>
    </row>
    <row r="257" spans="1:6">
      <c r="A257" s="3" t="s">
        <v>740</v>
      </c>
      <c r="B257" s="3" t="s">
        <v>86</v>
      </c>
      <c r="C257" s="4" t="s">
        <v>201</v>
      </c>
      <c r="D257" s="2" t="s">
        <v>202</v>
      </c>
      <c r="E257" s="2" t="s">
        <v>203</v>
      </c>
      <c r="F257" s="2" t="s">
        <v>202</v>
      </c>
    </row>
    <row r="258" spans="1:6">
      <c r="A258" s="3" t="s">
        <v>740</v>
      </c>
      <c r="B258" s="3" t="s">
        <v>86</v>
      </c>
      <c r="C258" s="4" t="s">
        <v>204</v>
      </c>
      <c r="D258" s="2" t="s">
        <v>205</v>
      </c>
      <c r="E258" s="2" t="s">
        <v>206</v>
      </c>
      <c r="F258" s="2" t="s">
        <v>207</v>
      </c>
    </row>
    <row r="259" spans="1:6">
      <c r="A259" s="3" t="s">
        <v>740</v>
      </c>
      <c r="B259" s="3" t="s">
        <v>86</v>
      </c>
      <c r="C259" s="4" t="s">
        <v>208</v>
      </c>
      <c r="D259" s="2" t="s">
        <v>209</v>
      </c>
      <c r="E259" s="2" t="s">
        <v>210</v>
      </c>
      <c r="F259" s="2" t="s">
        <v>211</v>
      </c>
    </row>
    <row r="260" spans="1:6">
      <c r="A260" s="3" t="s">
        <v>740</v>
      </c>
      <c r="B260" s="3" t="s">
        <v>86</v>
      </c>
      <c r="C260" s="4" t="s">
        <v>212</v>
      </c>
      <c r="D260" s="2" t="s">
        <v>213</v>
      </c>
      <c r="E260" s="2" t="s">
        <v>214</v>
      </c>
      <c r="F260" s="2" t="s">
        <v>215</v>
      </c>
    </row>
    <row r="261" spans="1:6">
      <c r="A261" s="3" t="s">
        <v>740</v>
      </c>
      <c r="B261" s="3" t="s">
        <v>86</v>
      </c>
      <c r="C261" s="4" t="s">
        <v>216</v>
      </c>
      <c r="D261" s="2" t="s">
        <v>217</v>
      </c>
      <c r="E261" s="2" t="s">
        <v>218</v>
      </c>
      <c r="F261" s="2" t="s">
        <v>219</v>
      </c>
    </row>
    <row r="262" spans="1:6">
      <c r="A262" s="3" t="s">
        <v>740</v>
      </c>
      <c r="B262" s="3" t="s">
        <v>86</v>
      </c>
      <c r="C262" s="4" t="s">
        <v>220</v>
      </c>
      <c r="D262" s="2" t="s">
        <v>221</v>
      </c>
      <c r="E262" s="2" t="s">
        <v>222</v>
      </c>
      <c r="F262" s="2" t="s">
        <v>223</v>
      </c>
    </row>
    <row r="263" spans="1:6">
      <c r="A263" s="3" t="s">
        <v>740</v>
      </c>
      <c r="B263" s="3" t="s">
        <v>86</v>
      </c>
      <c r="C263" s="4" t="s">
        <v>224</v>
      </c>
      <c r="D263" s="2" t="s">
        <v>225</v>
      </c>
      <c r="E263" s="2" t="s">
        <v>226</v>
      </c>
      <c r="F263" s="2" t="s">
        <v>227</v>
      </c>
    </row>
    <row r="264" spans="1:6">
      <c r="A264" s="3" t="s">
        <v>740</v>
      </c>
      <c r="B264" s="3" t="s">
        <v>86</v>
      </c>
      <c r="C264" s="4" t="s">
        <v>228</v>
      </c>
      <c r="D264" s="2" t="s">
        <v>229</v>
      </c>
      <c r="E264" s="2" t="s">
        <v>230</v>
      </c>
      <c r="F264" s="2" t="s">
        <v>229</v>
      </c>
    </row>
    <row r="265" spans="1:6">
      <c r="A265" s="3" t="s">
        <v>740</v>
      </c>
      <c r="B265" s="3" t="s">
        <v>86</v>
      </c>
      <c r="C265" s="4" t="s">
        <v>231</v>
      </c>
      <c r="D265" s="2" t="s">
        <v>232</v>
      </c>
      <c r="E265" s="2" t="s">
        <v>233</v>
      </c>
      <c r="F265" s="2" t="s">
        <v>234</v>
      </c>
    </row>
    <row r="266" spans="1:6">
      <c r="A266" s="3" t="s">
        <v>740</v>
      </c>
      <c r="B266" s="3" t="s">
        <v>86</v>
      </c>
      <c r="C266" s="4" t="s">
        <v>665</v>
      </c>
      <c r="D266" s="2" t="s">
        <v>666</v>
      </c>
      <c r="E266" s="2" t="s">
        <v>667</v>
      </c>
      <c r="F266" s="2" t="s">
        <v>668</v>
      </c>
    </row>
    <row r="267" spans="1:6">
      <c r="A267" s="3" t="s">
        <v>740</v>
      </c>
      <c r="B267" s="3" t="s">
        <v>86</v>
      </c>
      <c r="C267" s="4" t="s">
        <v>673</v>
      </c>
      <c r="D267" s="2" t="s">
        <v>674</v>
      </c>
      <c r="E267" s="2" t="s">
        <v>675</v>
      </c>
      <c r="F267" s="2" t="s">
        <v>676</v>
      </c>
    </row>
    <row r="268" spans="1:6">
      <c r="A268" s="3" t="s">
        <v>740</v>
      </c>
      <c r="B268" s="3" t="s">
        <v>86</v>
      </c>
      <c r="C268" s="4" t="s">
        <v>287</v>
      </c>
      <c r="D268" s="2" t="s">
        <v>288</v>
      </c>
      <c r="E268" s="2" t="s">
        <v>289</v>
      </c>
      <c r="F268" s="2" t="s">
        <v>290</v>
      </c>
    </row>
    <row r="269" spans="1:6">
      <c r="A269" s="3" t="s">
        <v>740</v>
      </c>
      <c r="B269" s="3" t="s">
        <v>86</v>
      </c>
      <c r="C269" s="4" t="s">
        <v>307</v>
      </c>
      <c r="D269" s="2" t="s">
        <v>308</v>
      </c>
      <c r="E269" s="2" t="s">
        <v>309</v>
      </c>
      <c r="F269" s="2" t="s">
        <v>310</v>
      </c>
    </row>
    <row r="270" spans="1:6">
      <c r="A270" s="3" t="s">
        <v>740</v>
      </c>
      <c r="B270" s="3" t="s">
        <v>86</v>
      </c>
      <c r="C270" s="4" t="s">
        <v>315</v>
      </c>
      <c r="D270" s="2" t="s">
        <v>316</v>
      </c>
      <c r="E270" s="2" t="s">
        <v>317</v>
      </c>
      <c r="F270" s="2" t="s">
        <v>318</v>
      </c>
    </row>
    <row r="271" spans="1:6">
      <c r="A271" s="3" t="s">
        <v>740</v>
      </c>
      <c r="B271" s="3" t="s">
        <v>86</v>
      </c>
      <c r="C271" s="4" t="s">
        <v>319</v>
      </c>
      <c r="D271" s="2" t="s">
        <v>320</v>
      </c>
      <c r="E271" s="2" t="s">
        <v>321</v>
      </c>
      <c r="F271" s="2" t="s">
        <v>322</v>
      </c>
    </row>
    <row r="272" spans="1:6">
      <c r="A272" s="3" t="s">
        <v>740</v>
      </c>
      <c r="B272" s="3" t="s">
        <v>86</v>
      </c>
      <c r="C272" s="4" t="s">
        <v>331</v>
      </c>
      <c r="D272" s="2" t="s">
        <v>332</v>
      </c>
      <c r="E272" s="2" t="s">
        <v>333</v>
      </c>
      <c r="F272" s="2" t="s">
        <v>334</v>
      </c>
    </row>
    <row r="273" spans="1:6">
      <c r="A273" s="3" t="s">
        <v>740</v>
      </c>
      <c r="B273" s="3" t="s">
        <v>86</v>
      </c>
      <c r="C273" s="4" t="s">
        <v>335</v>
      </c>
      <c r="D273" s="2" t="s">
        <v>336</v>
      </c>
      <c r="E273" s="2" t="s">
        <v>337</v>
      </c>
      <c r="F273" s="2" t="s">
        <v>336</v>
      </c>
    </row>
    <row r="274" spans="1:6">
      <c r="A274" s="3" t="s">
        <v>740</v>
      </c>
      <c r="B274" s="3" t="s">
        <v>86</v>
      </c>
      <c r="C274" s="4" t="s">
        <v>338</v>
      </c>
      <c r="D274" s="2" t="s">
        <v>339</v>
      </c>
      <c r="E274" s="2" t="s">
        <v>340</v>
      </c>
      <c r="F274" s="2" t="s">
        <v>341</v>
      </c>
    </row>
    <row r="275" spans="1:6">
      <c r="A275" s="3" t="s">
        <v>740</v>
      </c>
      <c r="B275" s="3" t="s">
        <v>86</v>
      </c>
      <c r="C275" s="4" t="s">
        <v>342</v>
      </c>
      <c r="D275" s="2" t="s">
        <v>343</v>
      </c>
      <c r="E275" s="2" t="s">
        <v>344</v>
      </c>
      <c r="F275" s="2" t="s">
        <v>345</v>
      </c>
    </row>
    <row r="276" spans="1:6">
      <c r="A276" s="3" t="s">
        <v>740</v>
      </c>
      <c r="B276" s="3" t="s">
        <v>86</v>
      </c>
      <c r="C276" s="4" t="s">
        <v>350</v>
      </c>
      <c r="D276" s="2" t="s">
        <v>351</v>
      </c>
      <c r="E276" s="2" t="s">
        <v>352</v>
      </c>
      <c r="F276" s="2" t="s">
        <v>353</v>
      </c>
    </row>
    <row r="277" spans="1:6">
      <c r="A277" s="3" t="s">
        <v>740</v>
      </c>
      <c r="B277" s="3" t="s">
        <v>86</v>
      </c>
      <c r="C277" s="4" t="s">
        <v>749</v>
      </c>
      <c r="D277" s="2" t="s">
        <v>750</v>
      </c>
      <c r="E277" s="2" t="s">
        <v>751</v>
      </c>
      <c r="F277" s="2" t="s">
        <v>752</v>
      </c>
    </row>
    <row r="278" spans="1:6">
      <c r="A278" s="3" t="s">
        <v>753</v>
      </c>
      <c r="B278" s="3" t="s">
        <v>88</v>
      </c>
      <c r="C278" s="4" t="s">
        <v>116</v>
      </c>
      <c r="D278" s="2" t="s">
        <v>67</v>
      </c>
      <c r="E278" s="2" t="s">
        <v>117</v>
      </c>
      <c r="F278" s="2" t="s">
        <v>118</v>
      </c>
    </row>
    <row r="279" spans="1:6">
      <c r="A279" s="3" t="s">
        <v>753</v>
      </c>
      <c r="B279" s="3" t="s">
        <v>88</v>
      </c>
      <c r="C279" s="4" t="s">
        <v>119</v>
      </c>
      <c r="D279" s="2" t="s">
        <v>69</v>
      </c>
      <c r="E279" s="2" t="s">
        <v>63</v>
      </c>
      <c r="F279" s="2" t="s">
        <v>120</v>
      </c>
    </row>
    <row r="280" spans="1:6">
      <c r="A280" s="3" t="s">
        <v>753</v>
      </c>
      <c r="B280" s="3" t="s">
        <v>88</v>
      </c>
      <c r="C280" s="4" t="s">
        <v>129</v>
      </c>
      <c r="D280" s="2" t="s">
        <v>73</v>
      </c>
      <c r="E280" s="2" t="s">
        <v>130</v>
      </c>
      <c r="F280" s="2" t="s">
        <v>131</v>
      </c>
    </row>
    <row r="281" spans="1:6">
      <c r="A281" s="3" t="s">
        <v>753</v>
      </c>
      <c r="B281" s="3" t="s">
        <v>88</v>
      </c>
      <c r="C281" s="4" t="s">
        <v>132</v>
      </c>
      <c r="D281" s="2" t="s">
        <v>70</v>
      </c>
      <c r="E281" s="2" t="s">
        <v>133</v>
      </c>
      <c r="F281" s="2" t="s">
        <v>134</v>
      </c>
    </row>
    <row r="282" spans="1:6">
      <c r="A282" s="3" t="s">
        <v>753</v>
      </c>
      <c r="B282" s="3" t="s">
        <v>88</v>
      </c>
      <c r="C282" s="4" t="s">
        <v>135</v>
      </c>
      <c r="D282" s="2" t="s">
        <v>136</v>
      </c>
      <c r="E282" s="2" t="s">
        <v>137</v>
      </c>
      <c r="F282" s="2" t="s">
        <v>138</v>
      </c>
    </row>
    <row r="283" spans="1:6">
      <c r="A283" s="3" t="s">
        <v>753</v>
      </c>
      <c r="B283" s="3" t="s">
        <v>88</v>
      </c>
      <c r="C283" s="4" t="s">
        <v>139</v>
      </c>
      <c r="D283" s="2" t="s">
        <v>139</v>
      </c>
      <c r="E283" s="2" t="s">
        <v>140</v>
      </c>
      <c r="F283" s="2" t="s">
        <v>141</v>
      </c>
    </row>
    <row r="284" spans="1:6">
      <c r="A284" s="3" t="s">
        <v>753</v>
      </c>
      <c r="B284" s="3" t="s">
        <v>88</v>
      </c>
      <c r="C284" s="4" t="s">
        <v>754</v>
      </c>
      <c r="D284" s="2" t="s">
        <v>755</v>
      </c>
      <c r="E284" s="2" t="s">
        <v>756</v>
      </c>
      <c r="F284" s="2" t="s">
        <v>757</v>
      </c>
    </row>
    <row r="285" spans="1:6">
      <c r="A285" s="3" t="s">
        <v>753</v>
      </c>
      <c r="B285" s="3" t="s">
        <v>88</v>
      </c>
      <c r="C285" s="4" t="s">
        <v>758</v>
      </c>
      <c r="D285" s="2" t="s">
        <v>759</v>
      </c>
      <c r="E285" s="2" t="s">
        <v>760</v>
      </c>
      <c r="F285" s="2" t="s">
        <v>761</v>
      </c>
    </row>
    <row r="286" spans="1:6">
      <c r="A286" s="3" t="s">
        <v>753</v>
      </c>
      <c r="B286" s="3" t="s">
        <v>88</v>
      </c>
      <c r="C286" s="4" t="s">
        <v>762</v>
      </c>
      <c r="D286" s="2" t="s">
        <v>763</v>
      </c>
      <c r="E286" s="2" t="s">
        <v>764</v>
      </c>
      <c r="F286" s="2" t="s">
        <v>765</v>
      </c>
    </row>
    <row r="287" spans="1:6">
      <c r="A287" s="3" t="s">
        <v>753</v>
      </c>
      <c r="B287" s="3" t="s">
        <v>88</v>
      </c>
      <c r="C287" s="4" t="s">
        <v>766</v>
      </c>
      <c r="D287" s="2" t="s">
        <v>767</v>
      </c>
      <c r="E287" s="2" t="s">
        <v>768</v>
      </c>
      <c r="F287" s="2" t="s">
        <v>767</v>
      </c>
    </row>
    <row r="288" spans="1:6">
      <c r="A288" s="3" t="s">
        <v>753</v>
      </c>
      <c r="B288" s="3" t="s">
        <v>88</v>
      </c>
      <c r="C288" s="4" t="s">
        <v>681</v>
      </c>
      <c r="D288" s="2" t="s">
        <v>682</v>
      </c>
      <c r="E288" s="2" t="s">
        <v>683</v>
      </c>
      <c r="F288" s="2" t="s">
        <v>684</v>
      </c>
    </row>
    <row r="289" spans="1:6">
      <c r="A289" s="3" t="s">
        <v>753</v>
      </c>
      <c r="B289" s="3" t="s">
        <v>88</v>
      </c>
      <c r="C289" s="4" t="s">
        <v>685</v>
      </c>
      <c r="D289" s="2" t="s">
        <v>686</v>
      </c>
      <c r="E289" s="2" t="s">
        <v>687</v>
      </c>
      <c r="F289" s="2" t="s">
        <v>686</v>
      </c>
    </row>
    <row r="290" spans="1:6">
      <c r="A290" s="3" t="s">
        <v>753</v>
      </c>
      <c r="B290" s="3" t="s">
        <v>88</v>
      </c>
      <c r="C290" s="4" t="s">
        <v>769</v>
      </c>
      <c r="D290" s="2" t="s">
        <v>770</v>
      </c>
      <c r="E290" s="2" t="s">
        <v>771</v>
      </c>
      <c r="F290" s="2" t="s">
        <v>772</v>
      </c>
    </row>
    <row r="291" spans="1:6">
      <c r="A291" s="3" t="s">
        <v>753</v>
      </c>
      <c r="B291" s="3" t="s">
        <v>88</v>
      </c>
      <c r="C291" s="4" t="s">
        <v>773</v>
      </c>
      <c r="D291" s="2" t="s">
        <v>774</v>
      </c>
      <c r="E291" s="2" t="s">
        <v>775</v>
      </c>
      <c r="F291" s="2" t="s">
        <v>776</v>
      </c>
    </row>
    <row r="292" spans="1:6">
      <c r="A292" s="3" t="s">
        <v>753</v>
      </c>
      <c r="B292" s="3" t="s">
        <v>88</v>
      </c>
      <c r="C292" s="4" t="s">
        <v>777</v>
      </c>
      <c r="D292" s="2" t="s">
        <v>778</v>
      </c>
      <c r="E292" s="2" t="s">
        <v>779</v>
      </c>
      <c r="F292" s="2" t="s">
        <v>780</v>
      </c>
    </row>
    <row r="293" spans="1:6">
      <c r="A293" s="3" t="s">
        <v>753</v>
      </c>
      <c r="B293" s="3" t="s">
        <v>88</v>
      </c>
      <c r="C293" s="4" t="s">
        <v>781</v>
      </c>
      <c r="D293" s="2" t="s">
        <v>782</v>
      </c>
      <c r="E293" s="2" t="s">
        <v>783</v>
      </c>
      <c r="F293" s="2" t="s">
        <v>784</v>
      </c>
    </row>
    <row r="294" spans="1:6">
      <c r="A294" s="3" t="s">
        <v>753</v>
      </c>
      <c r="B294" s="3" t="s">
        <v>88</v>
      </c>
      <c r="C294" s="4" t="s">
        <v>785</v>
      </c>
      <c r="D294" s="2" t="s">
        <v>786</v>
      </c>
      <c r="E294" s="2" t="s">
        <v>787</v>
      </c>
      <c r="F294" s="2" t="s">
        <v>788</v>
      </c>
    </row>
    <row r="295" spans="1:6">
      <c r="A295" s="3" t="s">
        <v>753</v>
      </c>
      <c r="B295" s="3" t="s">
        <v>88</v>
      </c>
      <c r="C295" s="4" t="s">
        <v>789</v>
      </c>
      <c r="D295" s="2" t="s">
        <v>790</v>
      </c>
      <c r="E295" s="2" t="s">
        <v>791</v>
      </c>
      <c r="F295" s="2" t="s">
        <v>792</v>
      </c>
    </row>
    <row r="296" spans="1:6">
      <c r="A296" s="3" t="s">
        <v>753</v>
      </c>
      <c r="B296" s="3" t="s">
        <v>88</v>
      </c>
      <c r="C296" s="4" t="s">
        <v>793</v>
      </c>
      <c r="D296" s="2" t="s">
        <v>794</v>
      </c>
      <c r="E296" s="2" t="s">
        <v>795</v>
      </c>
      <c r="F296" s="2" t="s">
        <v>796</v>
      </c>
    </row>
    <row r="297" spans="1:6">
      <c r="A297" s="3" t="s">
        <v>753</v>
      </c>
      <c r="B297" s="3" t="s">
        <v>88</v>
      </c>
      <c r="C297" s="4" t="s">
        <v>164</v>
      </c>
      <c r="D297" s="2" t="s">
        <v>60</v>
      </c>
      <c r="E297" s="2" t="s">
        <v>165</v>
      </c>
      <c r="F297" s="2" t="s">
        <v>166</v>
      </c>
    </row>
    <row r="298" spans="1:6">
      <c r="A298" s="3" t="s">
        <v>753</v>
      </c>
      <c r="B298" s="3" t="s">
        <v>88</v>
      </c>
      <c r="C298" s="4" t="s">
        <v>167</v>
      </c>
      <c r="D298" s="2" t="s">
        <v>61</v>
      </c>
      <c r="E298" s="2" t="s">
        <v>168</v>
      </c>
      <c r="F298" s="2" t="s">
        <v>169</v>
      </c>
    </row>
    <row r="299" spans="1:6">
      <c r="A299" s="3" t="s">
        <v>753</v>
      </c>
      <c r="B299" s="3" t="s">
        <v>88</v>
      </c>
      <c r="C299" s="4" t="s">
        <v>170</v>
      </c>
      <c r="D299" s="2" t="s">
        <v>68</v>
      </c>
      <c r="E299" s="2" t="s">
        <v>171</v>
      </c>
      <c r="F299" s="2" t="s">
        <v>172</v>
      </c>
    </row>
    <row r="300" spans="1:6">
      <c r="A300" s="3" t="s">
        <v>753</v>
      </c>
      <c r="B300" s="3" t="s">
        <v>88</v>
      </c>
      <c r="C300" s="4" t="s">
        <v>173</v>
      </c>
      <c r="D300" s="2" t="s">
        <v>174</v>
      </c>
      <c r="E300" s="2" t="s">
        <v>175</v>
      </c>
      <c r="F300" s="2" t="s">
        <v>176</v>
      </c>
    </row>
    <row r="301" spans="1:6">
      <c r="A301" s="3" t="s">
        <v>753</v>
      </c>
      <c r="B301" s="3" t="s">
        <v>88</v>
      </c>
      <c r="C301" s="4" t="s">
        <v>797</v>
      </c>
      <c r="D301" s="2" t="s">
        <v>798</v>
      </c>
      <c r="E301" s="2" t="s">
        <v>799</v>
      </c>
      <c r="F301" s="2" t="s">
        <v>798</v>
      </c>
    </row>
    <row r="302" spans="1:6">
      <c r="A302" s="3" t="s">
        <v>753</v>
      </c>
      <c r="B302" s="3" t="s">
        <v>88</v>
      </c>
      <c r="C302" s="4" t="s">
        <v>177</v>
      </c>
      <c r="D302" s="2" t="s">
        <v>178</v>
      </c>
      <c r="E302" s="2" t="s">
        <v>179</v>
      </c>
      <c r="F302" s="2" t="s">
        <v>180</v>
      </c>
    </row>
    <row r="303" spans="1:6">
      <c r="A303" s="3" t="s">
        <v>753</v>
      </c>
      <c r="B303" s="3" t="s">
        <v>88</v>
      </c>
      <c r="C303" s="4" t="s">
        <v>800</v>
      </c>
      <c r="D303" s="2" t="s">
        <v>71</v>
      </c>
      <c r="E303" s="2" t="s">
        <v>801</v>
      </c>
      <c r="F303" s="2" t="s">
        <v>802</v>
      </c>
    </row>
    <row r="304" spans="1:6">
      <c r="A304" s="3" t="s">
        <v>753</v>
      </c>
      <c r="B304" s="3" t="s">
        <v>88</v>
      </c>
      <c r="C304" s="4" t="s">
        <v>803</v>
      </c>
      <c r="D304" s="2" t="s">
        <v>804</v>
      </c>
      <c r="E304" s="2" t="s">
        <v>805</v>
      </c>
      <c r="F304" s="2" t="s">
        <v>806</v>
      </c>
    </row>
    <row r="305" spans="1:6">
      <c r="A305" s="3" t="s">
        <v>753</v>
      </c>
      <c r="B305" s="3" t="s">
        <v>88</v>
      </c>
      <c r="C305" s="4" t="s">
        <v>197</v>
      </c>
      <c r="D305" s="2" t="s">
        <v>198</v>
      </c>
      <c r="E305" s="2" t="s">
        <v>199</v>
      </c>
      <c r="F305" s="2" t="s">
        <v>200</v>
      </c>
    </row>
    <row r="306" spans="1:6">
      <c r="A306" s="3" t="s">
        <v>753</v>
      </c>
      <c r="B306" s="3" t="s">
        <v>88</v>
      </c>
      <c r="C306" s="4" t="s">
        <v>807</v>
      </c>
      <c r="D306" s="2" t="s">
        <v>808</v>
      </c>
      <c r="E306" s="2" t="s">
        <v>809</v>
      </c>
      <c r="F306" s="2" t="s">
        <v>810</v>
      </c>
    </row>
    <row r="307" spans="1:6">
      <c r="A307" s="3" t="s">
        <v>753</v>
      </c>
      <c r="B307" s="3" t="s">
        <v>88</v>
      </c>
      <c r="C307" s="4" t="s">
        <v>811</v>
      </c>
      <c r="D307" s="2" t="s">
        <v>812</v>
      </c>
      <c r="E307" s="2" t="s">
        <v>813</v>
      </c>
      <c r="F307" s="2" t="s">
        <v>814</v>
      </c>
    </row>
    <row r="308" spans="1:6">
      <c r="A308" s="3" t="s">
        <v>753</v>
      </c>
      <c r="B308" s="3" t="s">
        <v>88</v>
      </c>
      <c r="C308" s="4" t="s">
        <v>815</v>
      </c>
      <c r="D308" s="2" t="s">
        <v>816</v>
      </c>
      <c r="E308" s="2" t="s">
        <v>817</v>
      </c>
      <c r="F308" s="2" t="s">
        <v>818</v>
      </c>
    </row>
    <row r="309" spans="1:6">
      <c r="A309" s="3" t="s">
        <v>753</v>
      </c>
      <c r="B309" s="3" t="s">
        <v>88</v>
      </c>
      <c r="C309" s="4" t="s">
        <v>819</v>
      </c>
      <c r="D309" s="2" t="s">
        <v>820</v>
      </c>
      <c r="E309" s="2" t="s">
        <v>821</v>
      </c>
      <c r="F309" s="2" t="s">
        <v>822</v>
      </c>
    </row>
    <row r="310" spans="1:6">
      <c r="A310" s="3" t="s">
        <v>753</v>
      </c>
      <c r="B310" s="3" t="s">
        <v>88</v>
      </c>
      <c r="C310" s="4" t="s">
        <v>823</v>
      </c>
      <c r="D310" s="2" t="s">
        <v>824</v>
      </c>
      <c r="E310" s="2" t="s">
        <v>825</v>
      </c>
      <c r="F310" s="2" t="s">
        <v>826</v>
      </c>
    </row>
    <row r="311" spans="1:6">
      <c r="A311" s="3" t="s">
        <v>753</v>
      </c>
      <c r="B311" s="3" t="s">
        <v>88</v>
      </c>
      <c r="C311" s="4" t="s">
        <v>212</v>
      </c>
      <c r="D311" s="2" t="s">
        <v>213</v>
      </c>
      <c r="E311" s="2" t="s">
        <v>214</v>
      </c>
      <c r="F311" s="2" t="s">
        <v>215</v>
      </c>
    </row>
    <row r="312" spans="1:6">
      <c r="A312" s="3" t="s">
        <v>753</v>
      </c>
      <c r="B312" s="3" t="s">
        <v>88</v>
      </c>
      <c r="C312" s="4" t="s">
        <v>216</v>
      </c>
      <c r="D312" s="2" t="s">
        <v>217</v>
      </c>
      <c r="E312" s="2" t="s">
        <v>218</v>
      </c>
      <c r="F312" s="2" t="s">
        <v>219</v>
      </c>
    </row>
    <row r="313" spans="1:6">
      <c r="A313" s="3" t="s">
        <v>753</v>
      </c>
      <c r="B313" s="3" t="s">
        <v>88</v>
      </c>
      <c r="C313" s="4" t="s">
        <v>827</v>
      </c>
      <c r="D313" s="2" t="s">
        <v>828</v>
      </c>
      <c r="E313" s="2" t="s">
        <v>829</v>
      </c>
      <c r="F313" s="2" t="s">
        <v>830</v>
      </c>
    </row>
    <row r="314" spans="1:6">
      <c r="A314" s="3" t="s">
        <v>753</v>
      </c>
      <c r="B314" s="3" t="s">
        <v>88</v>
      </c>
      <c r="C314" s="4" t="s">
        <v>831</v>
      </c>
      <c r="D314" s="2" t="s">
        <v>832</v>
      </c>
      <c r="E314" s="2" t="s">
        <v>833</v>
      </c>
      <c r="F314" s="2" t="s">
        <v>834</v>
      </c>
    </row>
    <row r="315" spans="1:6">
      <c r="A315" s="3" t="s">
        <v>753</v>
      </c>
      <c r="B315" s="3" t="s">
        <v>88</v>
      </c>
      <c r="C315" s="4" t="s">
        <v>835</v>
      </c>
      <c r="D315" s="2" t="s">
        <v>836</v>
      </c>
      <c r="E315" s="2" t="s">
        <v>837</v>
      </c>
      <c r="F315" s="2" t="s">
        <v>838</v>
      </c>
    </row>
    <row r="316" spans="1:6">
      <c r="A316" s="3" t="s">
        <v>753</v>
      </c>
      <c r="B316" s="3" t="s">
        <v>88</v>
      </c>
      <c r="C316" s="4" t="s">
        <v>839</v>
      </c>
      <c r="D316" s="2" t="s">
        <v>840</v>
      </c>
      <c r="E316" s="2" t="s">
        <v>841</v>
      </c>
      <c r="F316" s="2" t="s">
        <v>842</v>
      </c>
    </row>
    <row r="317" spans="1:6">
      <c r="A317" s="3" t="s">
        <v>753</v>
      </c>
      <c r="B317" s="3" t="s">
        <v>88</v>
      </c>
      <c r="C317" s="4" t="s">
        <v>843</v>
      </c>
      <c r="D317" s="2" t="s">
        <v>844</v>
      </c>
      <c r="E317" s="2" t="s">
        <v>845</v>
      </c>
      <c r="F317" s="2" t="s">
        <v>846</v>
      </c>
    </row>
    <row r="318" spans="1:6">
      <c r="A318" s="3" t="s">
        <v>753</v>
      </c>
      <c r="B318" s="3" t="s">
        <v>88</v>
      </c>
      <c r="C318" s="4" t="s">
        <v>847</v>
      </c>
      <c r="D318" s="2" t="s">
        <v>848</v>
      </c>
      <c r="E318" s="2" t="s">
        <v>849</v>
      </c>
      <c r="F318" s="2" t="s">
        <v>850</v>
      </c>
    </row>
    <row r="319" spans="1:6">
      <c r="A319" s="3" t="s">
        <v>753</v>
      </c>
      <c r="B319" s="3" t="s">
        <v>88</v>
      </c>
      <c r="C319" s="4" t="s">
        <v>851</v>
      </c>
      <c r="D319" s="2" t="s">
        <v>852</v>
      </c>
      <c r="E319" s="2" t="s">
        <v>853</v>
      </c>
      <c r="F319" s="2" t="s">
        <v>854</v>
      </c>
    </row>
    <row r="320" spans="1:6">
      <c r="A320" s="3" t="s">
        <v>753</v>
      </c>
      <c r="B320" s="3" t="s">
        <v>88</v>
      </c>
      <c r="C320" s="4" t="s">
        <v>855</v>
      </c>
      <c r="D320" s="2" t="s">
        <v>856</v>
      </c>
      <c r="E320" s="2" t="s">
        <v>857</v>
      </c>
      <c r="F320" s="2" t="s">
        <v>856</v>
      </c>
    </row>
    <row r="321" spans="1:6">
      <c r="A321" s="3" t="s">
        <v>753</v>
      </c>
      <c r="B321" s="3" t="s">
        <v>88</v>
      </c>
      <c r="C321" s="4" t="s">
        <v>858</v>
      </c>
      <c r="D321" s="2" t="s">
        <v>859</v>
      </c>
      <c r="E321" s="2" t="s">
        <v>860</v>
      </c>
      <c r="F321" s="2" t="s">
        <v>861</v>
      </c>
    </row>
    <row r="322" spans="1:6">
      <c r="A322" s="3" t="s">
        <v>753</v>
      </c>
      <c r="B322" s="3" t="s">
        <v>88</v>
      </c>
      <c r="C322" s="4" t="s">
        <v>862</v>
      </c>
      <c r="D322" s="2" t="s">
        <v>863</v>
      </c>
      <c r="E322" s="2" t="s">
        <v>864</v>
      </c>
      <c r="F322" s="2" t="s">
        <v>865</v>
      </c>
    </row>
    <row r="323" spans="1:6">
      <c r="A323" s="3" t="s">
        <v>753</v>
      </c>
      <c r="B323" s="3" t="s">
        <v>88</v>
      </c>
      <c r="C323" s="4" t="s">
        <v>866</v>
      </c>
      <c r="D323" s="2" t="s">
        <v>867</v>
      </c>
      <c r="E323" s="2" t="s">
        <v>868</v>
      </c>
      <c r="F323" s="2" t="s">
        <v>869</v>
      </c>
    </row>
    <row r="324" spans="1:6">
      <c r="A324" s="3" t="s">
        <v>753</v>
      </c>
      <c r="B324" s="3" t="s">
        <v>88</v>
      </c>
      <c r="C324" s="4" t="s">
        <v>870</v>
      </c>
      <c r="D324" s="2" t="s">
        <v>871</v>
      </c>
      <c r="E324" s="2" t="s">
        <v>872</v>
      </c>
      <c r="F324" s="2" t="s">
        <v>873</v>
      </c>
    </row>
    <row r="325" spans="1:6">
      <c r="A325" s="3" t="s">
        <v>753</v>
      </c>
      <c r="B325" s="3" t="s">
        <v>88</v>
      </c>
      <c r="C325" s="4" t="s">
        <v>874</v>
      </c>
      <c r="D325" s="2" t="s">
        <v>875</v>
      </c>
      <c r="E325" s="2" t="s">
        <v>876</v>
      </c>
      <c r="F325" s="2" t="s">
        <v>877</v>
      </c>
    </row>
    <row r="326" spans="1:6">
      <c r="A326" s="3" t="s">
        <v>753</v>
      </c>
      <c r="B326" s="3" t="s">
        <v>88</v>
      </c>
      <c r="C326" s="4" t="s">
        <v>878</v>
      </c>
      <c r="D326" s="2" t="s">
        <v>879</v>
      </c>
      <c r="E326" s="2" t="s">
        <v>880</v>
      </c>
      <c r="F326" s="2" t="s">
        <v>881</v>
      </c>
    </row>
    <row r="327" spans="1:6">
      <c r="A327" s="3" t="s">
        <v>753</v>
      </c>
      <c r="B327" s="3" t="s">
        <v>88</v>
      </c>
      <c r="C327" s="4" t="s">
        <v>882</v>
      </c>
      <c r="D327" s="2" t="s">
        <v>883</v>
      </c>
      <c r="E327" s="2" t="s">
        <v>884</v>
      </c>
      <c r="F327" s="2" t="s">
        <v>885</v>
      </c>
    </row>
    <row r="328" spans="1:6">
      <c r="A328" s="3" t="s">
        <v>753</v>
      </c>
      <c r="B328" s="3" t="s">
        <v>88</v>
      </c>
      <c r="C328" s="4" t="s">
        <v>886</v>
      </c>
      <c r="D328" s="2" t="s">
        <v>887</v>
      </c>
      <c r="E328" s="2" t="s">
        <v>888</v>
      </c>
      <c r="F328" s="2" t="s">
        <v>889</v>
      </c>
    </row>
    <row r="329" spans="1:6">
      <c r="A329" s="3" t="s">
        <v>753</v>
      </c>
      <c r="B329" s="3" t="s">
        <v>88</v>
      </c>
      <c r="C329" s="4" t="s">
        <v>890</v>
      </c>
      <c r="D329" s="2" t="s">
        <v>891</v>
      </c>
      <c r="E329" s="2" t="s">
        <v>892</v>
      </c>
      <c r="F329" s="2" t="s">
        <v>893</v>
      </c>
    </row>
    <row r="330" spans="1:6">
      <c r="A330" s="3" t="s">
        <v>753</v>
      </c>
      <c r="B330" s="3" t="s">
        <v>88</v>
      </c>
      <c r="C330" s="4" t="s">
        <v>894</v>
      </c>
      <c r="D330" s="2" t="s">
        <v>895</v>
      </c>
      <c r="E330" s="2" t="s">
        <v>896</v>
      </c>
      <c r="F330" s="2" t="s">
        <v>897</v>
      </c>
    </row>
    <row r="331" spans="1:6">
      <c r="A331" s="3" t="s">
        <v>753</v>
      </c>
      <c r="B331" s="3" t="s">
        <v>88</v>
      </c>
      <c r="C331" s="4" t="s">
        <v>898</v>
      </c>
      <c r="D331" s="2" t="s">
        <v>899</v>
      </c>
      <c r="E331" s="2" t="s">
        <v>900</v>
      </c>
      <c r="F331" s="2" t="s">
        <v>901</v>
      </c>
    </row>
    <row r="332" spans="1:6">
      <c r="A332" s="3" t="s">
        <v>753</v>
      </c>
      <c r="B332" s="3" t="s">
        <v>88</v>
      </c>
      <c r="C332" s="4" t="s">
        <v>902</v>
      </c>
      <c r="D332" s="2" t="s">
        <v>903</v>
      </c>
      <c r="E332" s="2" t="s">
        <v>904</v>
      </c>
      <c r="F332" s="2" t="s">
        <v>905</v>
      </c>
    </row>
    <row r="333" spans="1:6">
      <c r="A333" s="3" t="s">
        <v>906</v>
      </c>
      <c r="B333" s="3" t="s">
        <v>89</v>
      </c>
      <c r="C333" s="4" t="s">
        <v>129</v>
      </c>
      <c r="D333" s="2" t="s">
        <v>73</v>
      </c>
      <c r="E333" s="2" t="s">
        <v>130</v>
      </c>
      <c r="F333" s="2" t="s">
        <v>131</v>
      </c>
    </row>
    <row r="334" spans="1:6">
      <c r="A334" s="3" t="s">
        <v>906</v>
      </c>
      <c r="B334" s="3" t="s">
        <v>89</v>
      </c>
      <c r="C334" s="4" t="s">
        <v>132</v>
      </c>
      <c r="D334" s="2" t="s">
        <v>70</v>
      </c>
      <c r="E334" s="2" t="s">
        <v>133</v>
      </c>
      <c r="F334" s="2" t="s">
        <v>134</v>
      </c>
    </row>
    <row r="335" spans="1:6">
      <c r="A335" s="3" t="s">
        <v>906</v>
      </c>
      <c r="B335" s="3" t="s">
        <v>89</v>
      </c>
      <c r="C335" s="4" t="s">
        <v>135</v>
      </c>
      <c r="D335" s="2" t="s">
        <v>136</v>
      </c>
      <c r="E335" s="2" t="s">
        <v>137</v>
      </c>
      <c r="F335" s="2" t="s">
        <v>138</v>
      </c>
    </row>
    <row r="336" spans="1:6">
      <c r="A336" s="3" t="s">
        <v>906</v>
      </c>
      <c r="B336" s="3" t="s">
        <v>89</v>
      </c>
      <c r="C336" s="4" t="s">
        <v>754</v>
      </c>
      <c r="D336" s="2" t="s">
        <v>755</v>
      </c>
      <c r="E336" s="2" t="s">
        <v>756</v>
      </c>
      <c r="F336" s="2" t="s">
        <v>757</v>
      </c>
    </row>
    <row r="337" spans="1:6">
      <c r="A337" s="3" t="s">
        <v>906</v>
      </c>
      <c r="B337" s="3" t="s">
        <v>89</v>
      </c>
      <c r="C337" s="4" t="s">
        <v>907</v>
      </c>
      <c r="D337" s="2" t="s">
        <v>908</v>
      </c>
      <c r="E337" s="2" t="s">
        <v>909</v>
      </c>
      <c r="F337" s="2" t="s">
        <v>910</v>
      </c>
    </row>
    <row r="338" spans="1:6">
      <c r="A338" s="3" t="s">
        <v>906</v>
      </c>
      <c r="B338" s="3" t="s">
        <v>89</v>
      </c>
      <c r="C338" s="4" t="s">
        <v>911</v>
      </c>
      <c r="D338" s="2" t="s">
        <v>912</v>
      </c>
      <c r="E338" s="2" t="s">
        <v>913</v>
      </c>
      <c r="F338" s="2" t="s">
        <v>914</v>
      </c>
    </row>
    <row r="339" spans="1:6">
      <c r="A339" s="3" t="s">
        <v>906</v>
      </c>
      <c r="B339" s="3" t="s">
        <v>89</v>
      </c>
      <c r="C339" s="4" t="s">
        <v>758</v>
      </c>
      <c r="D339" s="2" t="s">
        <v>759</v>
      </c>
      <c r="E339" s="2" t="s">
        <v>760</v>
      </c>
      <c r="F339" s="2" t="s">
        <v>761</v>
      </c>
    </row>
    <row r="340" spans="1:6">
      <c r="A340" s="3" t="s">
        <v>906</v>
      </c>
      <c r="B340" s="3" t="s">
        <v>89</v>
      </c>
      <c r="C340" s="4" t="s">
        <v>762</v>
      </c>
      <c r="D340" s="2" t="s">
        <v>763</v>
      </c>
      <c r="E340" s="2" t="s">
        <v>764</v>
      </c>
      <c r="F340" s="2" t="s">
        <v>765</v>
      </c>
    </row>
    <row r="341" spans="1:6">
      <c r="A341" s="3" t="s">
        <v>906</v>
      </c>
      <c r="B341" s="3" t="s">
        <v>89</v>
      </c>
      <c r="C341" s="4" t="s">
        <v>766</v>
      </c>
      <c r="D341" s="2" t="s">
        <v>767</v>
      </c>
      <c r="E341" s="2" t="s">
        <v>768</v>
      </c>
      <c r="F341" s="2" t="s">
        <v>767</v>
      </c>
    </row>
    <row r="342" spans="1:6">
      <c r="A342" s="3" t="s">
        <v>906</v>
      </c>
      <c r="B342" s="3" t="s">
        <v>89</v>
      </c>
      <c r="C342" s="4" t="s">
        <v>915</v>
      </c>
      <c r="D342" s="2" t="s">
        <v>916</v>
      </c>
      <c r="E342" s="2" t="s">
        <v>917</v>
      </c>
      <c r="F342" s="2" t="s">
        <v>918</v>
      </c>
    </row>
    <row r="343" spans="1:6">
      <c r="A343" s="3" t="s">
        <v>906</v>
      </c>
      <c r="B343" s="3" t="s">
        <v>89</v>
      </c>
      <c r="C343" s="4" t="s">
        <v>919</v>
      </c>
      <c r="D343" s="2" t="s">
        <v>920</v>
      </c>
      <c r="E343" s="2" t="s">
        <v>921</v>
      </c>
      <c r="F343" s="2" t="s">
        <v>922</v>
      </c>
    </row>
    <row r="344" spans="1:6">
      <c r="A344" s="3" t="s">
        <v>906</v>
      </c>
      <c r="B344" s="3" t="s">
        <v>89</v>
      </c>
      <c r="C344" s="4" t="s">
        <v>923</v>
      </c>
      <c r="D344" s="2" t="s">
        <v>924</v>
      </c>
      <c r="E344" s="2" t="s">
        <v>925</v>
      </c>
      <c r="F344" s="2" t="s">
        <v>922</v>
      </c>
    </row>
    <row r="345" spans="1:6">
      <c r="A345" s="3" t="s">
        <v>906</v>
      </c>
      <c r="B345" s="3" t="s">
        <v>89</v>
      </c>
      <c r="C345" s="4" t="s">
        <v>769</v>
      </c>
      <c r="D345" s="2" t="s">
        <v>770</v>
      </c>
      <c r="E345" s="2" t="s">
        <v>771</v>
      </c>
      <c r="F345" s="2" t="s">
        <v>772</v>
      </c>
    </row>
    <row r="346" spans="1:6">
      <c r="A346" s="3" t="s">
        <v>906</v>
      </c>
      <c r="B346" s="3" t="s">
        <v>89</v>
      </c>
      <c r="C346" s="4" t="s">
        <v>773</v>
      </c>
      <c r="D346" s="2" t="s">
        <v>774</v>
      </c>
      <c r="E346" s="2" t="s">
        <v>775</v>
      </c>
      <c r="F346" s="2" t="s">
        <v>776</v>
      </c>
    </row>
    <row r="347" spans="1:6">
      <c r="A347" s="3" t="s">
        <v>906</v>
      </c>
      <c r="B347" s="3" t="s">
        <v>89</v>
      </c>
      <c r="C347" s="4" t="s">
        <v>926</v>
      </c>
      <c r="D347" s="2" t="s">
        <v>927</v>
      </c>
      <c r="E347" s="2" t="s">
        <v>928</v>
      </c>
      <c r="F347" s="2" t="s">
        <v>929</v>
      </c>
    </row>
    <row r="348" spans="1:6">
      <c r="A348" s="3" t="s">
        <v>906</v>
      </c>
      <c r="B348" s="3" t="s">
        <v>89</v>
      </c>
      <c r="C348" s="4" t="s">
        <v>930</v>
      </c>
      <c r="D348" s="2" t="s">
        <v>931</v>
      </c>
      <c r="E348" s="2" t="s">
        <v>932</v>
      </c>
      <c r="F348" s="2" t="s">
        <v>933</v>
      </c>
    </row>
    <row r="349" spans="1:6">
      <c r="A349" s="3" t="s">
        <v>906</v>
      </c>
      <c r="B349" s="3" t="s">
        <v>89</v>
      </c>
      <c r="C349" s="4" t="s">
        <v>934</v>
      </c>
      <c r="D349" s="2" t="s">
        <v>935</v>
      </c>
      <c r="E349" s="2" t="s">
        <v>936</v>
      </c>
      <c r="F349" s="2" t="s">
        <v>937</v>
      </c>
    </row>
    <row r="350" spans="1:6">
      <c r="A350" s="3" t="s">
        <v>906</v>
      </c>
      <c r="B350" s="3" t="s">
        <v>89</v>
      </c>
      <c r="C350" s="4" t="s">
        <v>938</v>
      </c>
      <c r="D350" s="2" t="s">
        <v>939</v>
      </c>
      <c r="E350" s="2" t="s">
        <v>940</v>
      </c>
      <c r="F350" s="2" t="s">
        <v>941</v>
      </c>
    </row>
    <row r="351" spans="1:6">
      <c r="A351" s="3" t="s">
        <v>906</v>
      </c>
      <c r="B351" s="3" t="s">
        <v>89</v>
      </c>
      <c r="C351" s="4" t="s">
        <v>164</v>
      </c>
      <c r="D351" s="2" t="s">
        <v>60</v>
      </c>
      <c r="E351" s="2" t="s">
        <v>165</v>
      </c>
      <c r="F351" s="2" t="s">
        <v>166</v>
      </c>
    </row>
    <row r="352" spans="1:6">
      <c r="A352" s="3" t="s">
        <v>906</v>
      </c>
      <c r="B352" s="3" t="s">
        <v>89</v>
      </c>
      <c r="C352" s="4" t="s">
        <v>167</v>
      </c>
      <c r="D352" s="2" t="s">
        <v>61</v>
      </c>
      <c r="E352" s="2" t="s">
        <v>168</v>
      </c>
      <c r="F352" s="2" t="s">
        <v>169</v>
      </c>
    </row>
    <row r="353" spans="1:6">
      <c r="A353" s="3" t="s">
        <v>906</v>
      </c>
      <c r="B353" s="3" t="s">
        <v>89</v>
      </c>
      <c r="C353" s="4" t="s">
        <v>170</v>
      </c>
      <c r="D353" s="2" t="s">
        <v>68</v>
      </c>
      <c r="E353" s="2" t="s">
        <v>171</v>
      </c>
      <c r="F353" s="2" t="s">
        <v>172</v>
      </c>
    </row>
    <row r="354" spans="1:6">
      <c r="A354" s="3" t="s">
        <v>906</v>
      </c>
      <c r="B354" s="3" t="s">
        <v>89</v>
      </c>
      <c r="C354" s="4" t="s">
        <v>797</v>
      </c>
      <c r="D354" s="2" t="s">
        <v>798</v>
      </c>
      <c r="E354" s="2" t="s">
        <v>799</v>
      </c>
      <c r="F354" s="2" t="s">
        <v>798</v>
      </c>
    </row>
    <row r="355" spans="1:6">
      <c r="A355" s="3" t="s">
        <v>906</v>
      </c>
      <c r="B355" s="3" t="s">
        <v>89</v>
      </c>
      <c r="C355" s="4" t="s">
        <v>800</v>
      </c>
      <c r="D355" s="2" t="s">
        <v>71</v>
      </c>
      <c r="E355" s="2" t="s">
        <v>801</v>
      </c>
      <c r="F355" s="2" t="s">
        <v>802</v>
      </c>
    </row>
    <row r="356" spans="1:6">
      <c r="A356" s="3" t="s">
        <v>906</v>
      </c>
      <c r="B356" s="3" t="s">
        <v>89</v>
      </c>
      <c r="C356" s="4" t="s">
        <v>803</v>
      </c>
      <c r="D356" s="2" t="s">
        <v>804</v>
      </c>
      <c r="E356" s="2" t="s">
        <v>805</v>
      </c>
      <c r="F356" s="2" t="s">
        <v>806</v>
      </c>
    </row>
    <row r="357" spans="1:6">
      <c r="A357" s="3" t="s">
        <v>906</v>
      </c>
      <c r="B357" s="3" t="s">
        <v>89</v>
      </c>
      <c r="C357" s="4" t="s">
        <v>807</v>
      </c>
      <c r="D357" s="2" t="s">
        <v>808</v>
      </c>
      <c r="E357" s="2" t="s">
        <v>809</v>
      </c>
      <c r="F357" s="2" t="s">
        <v>810</v>
      </c>
    </row>
    <row r="358" spans="1:6">
      <c r="A358" s="3" t="s">
        <v>906</v>
      </c>
      <c r="B358" s="3" t="s">
        <v>89</v>
      </c>
      <c r="C358" s="4" t="s">
        <v>811</v>
      </c>
      <c r="D358" s="2" t="s">
        <v>812</v>
      </c>
      <c r="E358" s="2" t="s">
        <v>813</v>
      </c>
      <c r="F358" s="2" t="s">
        <v>814</v>
      </c>
    </row>
    <row r="359" spans="1:6">
      <c r="A359" s="3" t="s">
        <v>906</v>
      </c>
      <c r="B359" s="3" t="s">
        <v>89</v>
      </c>
      <c r="C359" s="4" t="s">
        <v>815</v>
      </c>
      <c r="D359" s="2" t="s">
        <v>816</v>
      </c>
      <c r="E359" s="2" t="s">
        <v>817</v>
      </c>
      <c r="F359" s="2" t="s">
        <v>818</v>
      </c>
    </row>
    <row r="360" spans="1:6">
      <c r="A360" s="3" t="s">
        <v>906</v>
      </c>
      <c r="B360" s="3" t="s">
        <v>89</v>
      </c>
      <c r="C360" s="4" t="s">
        <v>819</v>
      </c>
      <c r="D360" s="2" t="s">
        <v>820</v>
      </c>
      <c r="E360" s="2" t="s">
        <v>821</v>
      </c>
      <c r="F360" s="2" t="s">
        <v>822</v>
      </c>
    </row>
    <row r="361" spans="1:6">
      <c r="A361" s="3" t="s">
        <v>906</v>
      </c>
      <c r="B361" s="3" t="s">
        <v>89</v>
      </c>
      <c r="C361" s="4" t="s">
        <v>823</v>
      </c>
      <c r="D361" s="2" t="s">
        <v>824</v>
      </c>
      <c r="E361" s="2" t="s">
        <v>825</v>
      </c>
      <c r="F361" s="2" t="s">
        <v>826</v>
      </c>
    </row>
    <row r="362" spans="1:6">
      <c r="A362" s="3" t="s">
        <v>906</v>
      </c>
      <c r="B362" s="3" t="s">
        <v>89</v>
      </c>
      <c r="C362" s="4" t="s">
        <v>827</v>
      </c>
      <c r="D362" s="2" t="s">
        <v>828</v>
      </c>
      <c r="E362" s="2" t="s">
        <v>829</v>
      </c>
      <c r="F362" s="2" t="s">
        <v>830</v>
      </c>
    </row>
    <row r="363" spans="1:6">
      <c r="A363" s="3" t="s">
        <v>906</v>
      </c>
      <c r="B363" s="3" t="s">
        <v>89</v>
      </c>
      <c r="C363" s="4" t="s">
        <v>831</v>
      </c>
      <c r="D363" s="2" t="s">
        <v>832</v>
      </c>
      <c r="E363" s="2" t="s">
        <v>833</v>
      </c>
      <c r="F363" s="2" t="s">
        <v>834</v>
      </c>
    </row>
    <row r="364" spans="1:6">
      <c r="A364" s="3" t="s">
        <v>906</v>
      </c>
      <c r="B364" s="3" t="s">
        <v>89</v>
      </c>
      <c r="C364" s="4" t="s">
        <v>835</v>
      </c>
      <c r="D364" s="2" t="s">
        <v>836</v>
      </c>
      <c r="E364" s="2" t="s">
        <v>837</v>
      </c>
      <c r="F364" s="2" t="s">
        <v>838</v>
      </c>
    </row>
    <row r="365" spans="1:6">
      <c r="A365" s="3" t="s">
        <v>906</v>
      </c>
      <c r="B365" s="3" t="s">
        <v>89</v>
      </c>
      <c r="C365" s="4" t="s">
        <v>839</v>
      </c>
      <c r="D365" s="2" t="s">
        <v>840</v>
      </c>
      <c r="E365" s="2" t="s">
        <v>841</v>
      </c>
      <c r="F365" s="2" t="s">
        <v>842</v>
      </c>
    </row>
    <row r="366" spans="1:6">
      <c r="A366" s="3" t="s">
        <v>906</v>
      </c>
      <c r="B366" s="3" t="s">
        <v>89</v>
      </c>
      <c r="C366" s="4" t="s">
        <v>843</v>
      </c>
      <c r="D366" s="2" t="s">
        <v>844</v>
      </c>
      <c r="E366" s="2" t="s">
        <v>845</v>
      </c>
      <c r="F366" s="2" t="s">
        <v>846</v>
      </c>
    </row>
    <row r="367" spans="1:6">
      <c r="A367" s="3" t="s">
        <v>906</v>
      </c>
      <c r="B367" s="3" t="s">
        <v>89</v>
      </c>
      <c r="C367" s="4" t="s">
        <v>847</v>
      </c>
      <c r="D367" s="2" t="s">
        <v>848</v>
      </c>
      <c r="E367" s="2" t="s">
        <v>849</v>
      </c>
      <c r="F367" s="2" t="s">
        <v>850</v>
      </c>
    </row>
    <row r="368" spans="1:6">
      <c r="A368" s="3" t="s">
        <v>906</v>
      </c>
      <c r="B368" s="3" t="s">
        <v>89</v>
      </c>
      <c r="C368" s="4" t="s">
        <v>851</v>
      </c>
      <c r="D368" s="2" t="s">
        <v>852</v>
      </c>
      <c r="E368" s="2" t="s">
        <v>853</v>
      </c>
      <c r="F368" s="2" t="s">
        <v>854</v>
      </c>
    </row>
    <row r="369" spans="1:6">
      <c r="A369" s="3" t="s">
        <v>906</v>
      </c>
      <c r="B369" s="3" t="s">
        <v>89</v>
      </c>
      <c r="C369" s="4" t="s">
        <v>855</v>
      </c>
      <c r="D369" s="2" t="s">
        <v>856</v>
      </c>
      <c r="E369" s="2" t="s">
        <v>857</v>
      </c>
      <c r="F369" s="2" t="s">
        <v>856</v>
      </c>
    </row>
    <row r="370" spans="1:6">
      <c r="A370" s="3" t="s">
        <v>906</v>
      </c>
      <c r="B370" s="3" t="s">
        <v>89</v>
      </c>
      <c r="C370" s="4" t="s">
        <v>858</v>
      </c>
      <c r="D370" s="2" t="s">
        <v>859</v>
      </c>
      <c r="E370" s="2" t="s">
        <v>860</v>
      </c>
      <c r="F370" s="2" t="s">
        <v>861</v>
      </c>
    </row>
    <row r="371" spans="1:6">
      <c r="A371" s="3" t="s">
        <v>906</v>
      </c>
      <c r="B371" s="3" t="s">
        <v>89</v>
      </c>
      <c r="C371" s="4" t="s">
        <v>942</v>
      </c>
      <c r="D371" s="2" t="s">
        <v>943</v>
      </c>
      <c r="E371" s="2" t="s">
        <v>944</v>
      </c>
      <c r="F371" s="2" t="s">
        <v>945</v>
      </c>
    </row>
    <row r="372" spans="1:6">
      <c r="A372" s="3" t="s">
        <v>906</v>
      </c>
      <c r="B372" s="3" t="s">
        <v>89</v>
      </c>
      <c r="C372" s="4" t="s">
        <v>946</v>
      </c>
      <c r="D372" s="2" t="s">
        <v>947</v>
      </c>
      <c r="E372" s="2" t="s">
        <v>948</v>
      </c>
      <c r="F372" s="2" t="s">
        <v>949</v>
      </c>
    </row>
    <row r="373" spans="1:6">
      <c r="A373" s="3" t="s">
        <v>906</v>
      </c>
      <c r="B373" s="3" t="s">
        <v>89</v>
      </c>
      <c r="C373" s="4" t="s">
        <v>950</v>
      </c>
      <c r="D373" s="2" t="s">
        <v>951</v>
      </c>
      <c r="E373" s="2" t="s">
        <v>952</v>
      </c>
      <c r="F373" s="2" t="s">
        <v>953</v>
      </c>
    </row>
    <row r="374" spans="1:6">
      <c r="A374" s="3" t="s">
        <v>906</v>
      </c>
      <c r="B374" s="3" t="s">
        <v>89</v>
      </c>
      <c r="C374" s="4" t="s">
        <v>954</v>
      </c>
      <c r="D374" s="2" t="s">
        <v>955</v>
      </c>
      <c r="E374" s="2" t="s">
        <v>956</v>
      </c>
      <c r="F374" s="2" t="s">
        <v>957</v>
      </c>
    </row>
    <row r="375" spans="1:6">
      <c r="A375" s="3" t="s">
        <v>906</v>
      </c>
      <c r="B375" s="3" t="s">
        <v>89</v>
      </c>
      <c r="C375" s="4" t="s">
        <v>958</v>
      </c>
      <c r="D375" s="2" t="s">
        <v>959</v>
      </c>
      <c r="E375" s="2" t="s">
        <v>960</v>
      </c>
      <c r="F375" s="2" t="s">
        <v>961</v>
      </c>
    </row>
    <row r="376" spans="1:6">
      <c r="A376" s="3" t="s">
        <v>906</v>
      </c>
      <c r="B376" s="3" t="s">
        <v>89</v>
      </c>
      <c r="C376" s="4" t="s">
        <v>962</v>
      </c>
      <c r="D376" s="2" t="s">
        <v>963</v>
      </c>
      <c r="E376" s="2" t="s">
        <v>964</v>
      </c>
      <c r="F376" s="2" t="s">
        <v>965</v>
      </c>
    </row>
    <row r="377" spans="1:6">
      <c r="A377" s="3" t="s">
        <v>906</v>
      </c>
      <c r="B377" s="3" t="s">
        <v>89</v>
      </c>
      <c r="C377" s="4" t="s">
        <v>862</v>
      </c>
      <c r="D377" s="2" t="s">
        <v>863</v>
      </c>
      <c r="E377" s="2" t="s">
        <v>864</v>
      </c>
      <c r="F377" s="2" t="s">
        <v>865</v>
      </c>
    </row>
    <row r="378" spans="1:6">
      <c r="A378" s="3" t="s">
        <v>906</v>
      </c>
      <c r="B378" s="3" t="s">
        <v>89</v>
      </c>
      <c r="C378" s="4" t="s">
        <v>866</v>
      </c>
      <c r="D378" s="2" t="s">
        <v>867</v>
      </c>
      <c r="E378" s="2" t="s">
        <v>868</v>
      </c>
      <c r="F378" s="2" t="s">
        <v>869</v>
      </c>
    </row>
    <row r="379" spans="1:6">
      <c r="A379" s="3" t="s">
        <v>906</v>
      </c>
      <c r="B379" s="3" t="s">
        <v>89</v>
      </c>
      <c r="C379" s="4" t="s">
        <v>870</v>
      </c>
      <c r="D379" s="2" t="s">
        <v>871</v>
      </c>
      <c r="E379" s="2" t="s">
        <v>872</v>
      </c>
      <c r="F379" s="2" t="s">
        <v>873</v>
      </c>
    </row>
    <row r="380" spans="1:6">
      <c r="A380" s="3" t="s">
        <v>906</v>
      </c>
      <c r="B380" s="3" t="s">
        <v>89</v>
      </c>
      <c r="C380" s="4" t="s">
        <v>874</v>
      </c>
      <c r="D380" s="2" t="s">
        <v>875</v>
      </c>
      <c r="E380" s="2" t="s">
        <v>876</v>
      </c>
      <c r="F380" s="2" t="s">
        <v>877</v>
      </c>
    </row>
    <row r="381" spans="1:6">
      <c r="A381" s="3" t="s">
        <v>906</v>
      </c>
      <c r="B381" s="3" t="s">
        <v>89</v>
      </c>
      <c r="C381" s="4" t="s">
        <v>878</v>
      </c>
      <c r="D381" s="2" t="s">
        <v>879</v>
      </c>
      <c r="E381" s="2" t="s">
        <v>880</v>
      </c>
      <c r="F381" s="2" t="s">
        <v>881</v>
      </c>
    </row>
    <row r="382" spans="1:6">
      <c r="A382" s="3" t="s">
        <v>906</v>
      </c>
      <c r="B382" s="3" t="s">
        <v>89</v>
      </c>
      <c r="C382" s="4" t="s">
        <v>882</v>
      </c>
      <c r="D382" s="2" t="s">
        <v>883</v>
      </c>
      <c r="E382" s="2" t="s">
        <v>884</v>
      </c>
      <c r="F382" s="2" t="s">
        <v>885</v>
      </c>
    </row>
    <row r="383" spans="1:6">
      <c r="A383" s="3" t="s">
        <v>906</v>
      </c>
      <c r="B383" s="3" t="s">
        <v>89</v>
      </c>
      <c r="C383" s="4" t="s">
        <v>966</v>
      </c>
      <c r="D383" s="2" t="s">
        <v>967</v>
      </c>
      <c r="E383" s="2" t="s">
        <v>968</v>
      </c>
      <c r="F383" s="2" t="s">
        <v>969</v>
      </c>
    </row>
    <row r="384" spans="1:6">
      <c r="A384" s="3" t="s">
        <v>906</v>
      </c>
      <c r="B384" s="3" t="s">
        <v>89</v>
      </c>
      <c r="C384" s="4" t="s">
        <v>970</v>
      </c>
      <c r="D384" s="2" t="s">
        <v>971</v>
      </c>
      <c r="E384" s="2" t="s">
        <v>972</v>
      </c>
      <c r="F384" s="2" t="s">
        <v>973</v>
      </c>
    </row>
    <row r="385" spans="1:6">
      <c r="A385" s="3" t="s">
        <v>906</v>
      </c>
      <c r="B385" s="3" t="s">
        <v>89</v>
      </c>
      <c r="C385" s="4" t="s">
        <v>974</v>
      </c>
      <c r="D385" s="2" t="s">
        <v>975</v>
      </c>
      <c r="E385" s="2" t="s">
        <v>976</v>
      </c>
      <c r="F385" s="2" t="s">
        <v>977</v>
      </c>
    </row>
    <row r="386" spans="1:6">
      <c r="A386" s="3" t="s">
        <v>906</v>
      </c>
      <c r="B386" s="3" t="s">
        <v>89</v>
      </c>
      <c r="C386" s="4" t="s">
        <v>978</v>
      </c>
      <c r="D386" s="2" t="s">
        <v>979</v>
      </c>
      <c r="E386" s="2" t="s">
        <v>980</v>
      </c>
      <c r="F386" s="2" t="s">
        <v>979</v>
      </c>
    </row>
    <row r="387" spans="1:6">
      <c r="A387" s="3" t="s">
        <v>906</v>
      </c>
      <c r="B387" s="3" t="s">
        <v>89</v>
      </c>
      <c r="C387" s="4" t="s">
        <v>981</v>
      </c>
      <c r="D387" s="2" t="s">
        <v>982</v>
      </c>
      <c r="E387" s="2" t="s">
        <v>983</v>
      </c>
      <c r="F387" s="2" t="s">
        <v>982</v>
      </c>
    </row>
    <row r="388" spans="1:6">
      <c r="A388" s="3" t="s">
        <v>906</v>
      </c>
      <c r="B388" s="3" t="s">
        <v>89</v>
      </c>
      <c r="C388" s="4" t="s">
        <v>984</v>
      </c>
      <c r="D388" s="2" t="s">
        <v>985</v>
      </c>
      <c r="E388" s="2" t="s">
        <v>986</v>
      </c>
      <c r="F388" s="2" t="s">
        <v>987</v>
      </c>
    </row>
    <row r="389" spans="1:6">
      <c r="A389" s="3" t="s">
        <v>906</v>
      </c>
      <c r="B389" s="3" t="s">
        <v>89</v>
      </c>
      <c r="C389" s="4" t="s">
        <v>988</v>
      </c>
      <c r="D389" s="2" t="s">
        <v>989</v>
      </c>
      <c r="E389" s="2" t="s">
        <v>990</v>
      </c>
      <c r="F389" s="2" t="s">
        <v>991</v>
      </c>
    </row>
    <row r="390" spans="1:6">
      <c r="A390" s="3" t="s">
        <v>906</v>
      </c>
      <c r="B390" s="3" t="s">
        <v>89</v>
      </c>
      <c r="C390" s="4" t="s">
        <v>992</v>
      </c>
      <c r="D390" s="2" t="s">
        <v>993</v>
      </c>
      <c r="E390" s="2" t="s">
        <v>994</v>
      </c>
      <c r="F390" s="2" t="s">
        <v>995</v>
      </c>
    </row>
    <row r="391" spans="1:6">
      <c r="A391" s="3" t="s">
        <v>906</v>
      </c>
      <c r="B391" s="3" t="s">
        <v>89</v>
      </c>
      <c r="C391" s="4" t="s">
        <v>996</v>
      </c>
      <c r="D391" s="2" t="s">
        <v>997</v>
      </c>
      <c r="E391" s="2" t="s">
        <v>998</v>
      </c>
      <c r="F391" s="2" t="s">
        <v>997</v>
      </c>
    </row>
    <row r="392" spans="1:6">
      <c r="A392" s="3" t="s">
        <v>906</v>
      </c>
      <c r="B392" s="3" t="s">
        <v>89</v>
      </c>
      <c r="C392" s="4" t="s">
        <v>999</v>
      </c>
      <c r="D392" s="2" t="s">
        <v>1000</v>
      </c>
      <c r="E392" s="2" t="s">
        <v>1001</v>
      </c>
      <c r="F392" s="2" t="s">
        <v>1002</v>
      </c>
    </row>
    <row r="393" spans="1:6">
      <c r="A393" s="3" t="s">
        <v>906</v>
      </c>
      <c r="B393" s="3" t="s">
        <v>89</v>
      </c>
      <c r="C393" s="4" t="s">
        <v>1003</v>
      </c>
      <c r="D393" s="2" t="s">
        <v>1004</v>
      </c>
      <c r="E393" s="2" t="s">
        <v>1005</v>
      </c>
      <c r="F393" s="2" t="s">
        <v>1004</v>
      </c>
    </row>
    <row r="394" spans="1:6">
      <c r="A394" s="3" t="s">
        <v>906</v>
      </c>
      <c r="B394" s="3" t="s">
        <v>89</v>
      </c>
      <c r="C394" s="4" t="s">
        <v>1006</v>
      </c>
      <c r="D394" s="2" t="s">
        <v>1007</v>
      </c>
      <c r="E394" s="2" t="s">
        <v>1008</v>
      </c>
      <c r="F394" s="2" t="s">
        <v>1009</v>
      </c>
    </row>
    <row r="395" spans="1:6">
      <c r="A395" s="3" t="s">
        <v>906</v>
      </c>
      <c r="B395" s="3" t="s">
        <v>89</v>
      </c>
      <c r="C395" s="4" t="s">
        <v>1010</v>
      </c>
      <c r="D395" s="2" t="s">
        <v>1011</v>
      </c>
      <c r="E395" s="2" t="s">
        <v>1012</v>
      </c>
      <c r="F395" s="2" t="s">
        <v>1013</v>
      </c>
    </row>
    <row r="396" spans="1:6">
      <c r="A396" s="3" t="s">
        <v>906</v>
      </c>
      <c r="B396" s="3" t="s">
        <v>89</v>
      </c>
      <c r="C396" s="4" t="s">
        <v>1014</v>
      </c>
      <c r="D396" s="2" t="s">
        <v>1015</v>
      </c>
      <c r="E396" s="2" t="s">
        <v>1016</v>
      </c>
      <c r="F396" s="2" t="s">
        <v>1015</v>
      </c>
    </row>
    <row r="397" spans="1:6">
      <c r="A397" s="3" t="s">
        <v>906</v>
      </c>
      <c r="B397" s="3" t="s">
        <v>89</v>
      </c>
      <c r="C397" s="4" t="s">
        <v>1017</v>
      </c>
      <c r="D397" s="2" t="s">
        <v>1018</v>
      </c>
      <c r="E397" s="2" t="s">
        <v>1019</v>
      </c>
      <c r="F397" s="2" t="s">
        <v>1018</v>
      </c>
    </row>
    <row r="398" spans="1:6">
      <c r="A398" s="3" t="s">
        <v>906</v>
      </c>
      <c r="B398" s="3" t="s">
        <v>89</v>
      </c>
      <c r="C398" s="4" t="s">
        <v>1020</v>
      </c>
      <c r="D398" s="2" t="s">
        <v>1021</v>
      </c>
      <c r="E398" s="2" t="s">
        <v>1022</v>
      </c>
      <c r="F398" s="2" t="s">
        <v>1021</v>
      </c>
    </row>
    <row r="399" spans="1:6">
      <c r="A399" s="3" t="s">
        <v>906</v>
      </c>
      <c r="B399" s="3" t="s">
        <v>89</v>
      </c>
      <c r="C399" s="4" t="s">
        <v>1023</v>
      </c>
      <c r="D399" s="2" t="s">
        <v>1024</v>
      </c>
      <c r="E399" s="2" t="s">
        <v>1025</v>
      </c>
      <c r="F399" s="2" t="s">
        <v>1026</v>
      </c>
    </row>
    <row r="400" spans="1:6">
      <c r="A400" s="3" t="s">
        <v>906</v>
      </c>
      <c r="B400" s="3" t="s">
        <v>89</v>
      </c>
      <c r="C400" s="4" t="s">
        <v>1027</v>
      </c>
      <c r="D400" s="2" t="s">
        <v>1028</v>
      </c>
      <c r="E400" s="2" t="s">
        <v>1029</v>
      </c>
      <c r="F400" s="2" t="s">
        <v>1030</v>
      </c>
    </row>
    <row r="401" spans="1:6">
      <c r="A401" s="3" t="s">
        <v>906</v>
      </c>
      <c r="B401" s="3" t="s">
        <v>89</v>
      </c>
      <c r="C401" s="4" t="s">
        <v>1031</v>
      </c>
      <c r="D401" s="2" t="s">
        <v>1032</v>
      </c>
      <c r="E401" s="2" t="s">
        <v>1033</v>
      </c>
      <c r="F401" s="2" t="s">
        <v>1034</v>
      </c>
    </row>
    <row r="402" spans="1:6">
      <c r="A402" s="3" t="s">
        <v>906</v>
      </c>
      <c r="B402" s="3" t="s">
        <v>89</v>
      </c>
      <c r="C402" s="4" t="s">
        <v>1035</v>
      </c>
      <c r="D402" s="2" t="s">
        <v>1036</v>
      </c>
      <c r="E402" s="2" t="s">
        <v>1037</v>
      </c>
      <c r="F402" s="2" t="s">
        <v>1038</v>
      </c>
    </row>
    <row r="403" spans="1:6">
      <c r="A403" s="3" t="s">
        <v>906</v>
      </c>
      <c r="B403" s="3" t="s">
        <v>89</v>
      </c>
      <c r="C403" s="4" t="s">
        <v>1039</v>
      </c>
      <c r="D403" s="2" t="s">
        <v>1040</v>
      </c>
      <c r="E403" s="2" t="s">
        <v>1041</v>
      </c>
      <c r="F403" s="2" t="s">
        <v>1042</v>
      </c>
    </row>
    <row r="404" spans="1:6">
      <c r="A404" s="3" t="s">
        <v>1043</v>
      </c>
      <c r="B404" s="3" t="s">
        <v>90</v>
      </c>
      <c r="C404" s="4" t="s">
        <v>1044</v>
      </c>
      <c r="D404" s="2" t="s">
        <v>1045</v>
      </c>
      <c r="E404" s="2" t="s">
        <v>1046</v>
      </c>
      <c r="F404" s="2" t="s">
        <v>1047</v>
      </c>
    </row>
    <row r="405" spans="1:6">
      <c r="A405" s="3" t="s">
        <v>1043</v>
      </c>
      <c r="B405" s="3" t="s">
        <v>90</v>
      </c>
      <c r="C405" s="4" t="s">
        <v>1048</v>
      </c>
      <c r="D405" s="2" t="s">
        <v>1049</v>
      </c>
      <c r="E405" s="2" t="s">
        <v>1050</v>
      </c>
      <c r="F405" s="2" t="s">
        <v>1051</v>
      </c>
    </row>
    <row r="406" spans="1:6">
      <c r="A406" s="3" t="s">
        <v>1043</v>
      </c>
      <c r="B406" s="3" t="s">
        <v>90</v>
      </c>
      <c r="C406" s="4" t="s">
        <v>1052</v>
      </c>
      <c r="D406" s="2" t="s">
        <v>1053</v>
      </c>
      <c r="E406" s="2" t="s">
        <v>1054</v>
      </c>
      <c r="F406" s="2" t="s">
        <v>1055</v>
      </c>
    </row>
    <row r="407" spans="1:6">
      <c r="A407" s="3" t="s">
        <v>1043</v>
      </c>
      <c r="B407" s="3" t="s">
        <v>90</v>
      </c>
      <c r="C407" s="4" t="s">
        <v>129</v>
      </c>
      <c r="D407" s="2" t="s">
        <v>73</v>
      </c>
      <c r="E407" s="2" t="s">
        <v>130</v>
      </c>
      <c r="F407" s="2" t="s">
        <v>131</v>
      </c>
    </row>
    <row r="408" spans="1:6">
      <c r="A408" s="3" t="s">
        <v>1043</v>
      </c>
      <c r="B408" s="3" t="s">
        <v>90</v>
      </c>
      <c r="C408" s="4" t="s">
        <v>132</v>
      </c>
      <c r="D408" s="2" t="s">
        <v>70</v>
      </c>
      <c r="E408" s="2" t="s">
        <v>133</v>
      </c>
      <c r="F408" s="2" t="s">
        <v>134</v>
      </c>
    </row>
    <row r="409" spans="1:6">
      <c r="A409" s="3" t="s">
        <v>1043</v>
      </c>
      <c r="B409" s="3" t="s">
        <v>90</v>
      </c>
      <c r="C409" s="4" t="s">
        <v>135</v>
      </c>
      <c r="D409" s="2" t="s">
        <v>136</v>
      </c>
      <c r="E409" s="2" t="s">
        <v>137</v>
      </c>
      <c r="F409" s="2" t="s">
        <v>138</v>
      </c>
    </row>
    <row r="410" spans="1:6">
      <c r="A410" s="3" t="s">
        <v>1043</v>
      </c>
      <c r="B410" s="3" t="s">
        <v>90</v>
      </c>
      <c r="C410" s="4" t="s">
        <v>754</v>
      </c>
      <c r="D410" s="2" t="s">
        <v>755</v>
      </c>
      <c r="E410" s="2" t="s">
        <v>756</v>
      </c>
      <c r="F410" s="2" t="s">
        <v>757</v>
      </c>
    </row>
    <row r="411" spans="1:6">
      <c r="A411" s="3" t="s">
        <v>1043</v>
      </c>
      <c r="B411" s="3" t="s">
        <v>90</v>
      </c>
      <c r="C411" s="4" t="s">
        <v>907</v>
      </c>
      <c r="D411" s="2" t="s">
        <v>908</v>
      </c>
      <c r="E411" s="2" t="s">
        <v>909</v>
      </c>
      <c r="F411" s="2" t="s">
        <v>910</v>
      </c>
    </row>
    <row r="412" spans="1:6">
      <c r="A412" s="3" t="s">
        <v>1043</v>
      </c>
      <c r="B412" s="3" t="s">
        <v>90</v>
      </c>
      <c r="C412" s="4" t="s">
        <v>911</v>
      </c>
      <c r="D412" s="2" t="s">
        <v>912</v>
      </c>
      <c r="E412" s="2" t="s">
        <v>913</v>
      </c>
      <c r="F412" s="2" t="s">
        <v>914</v>
      </c>
    </row>
    <row r="413" spans="1:6">
      <c r="A413" s="3" t="s">
        <v>1043</v>
      </c>
      <c r="B413" s="3" t="s">
        <v>90</v>
      </c>
      <c r="C413" s="4" t="s">
        <v>758</v>
      </c>
      <c r="D413" s="2" t="s">
        <v>759</v>
      </c>
      <c r="E413" s="2" t="s">
        <v>760</v>
      </c>
      <c r="F413" s="2" t="s">
        <v>761</v>
      </c>
    </row>
    <row r="414" spans="1:6">
      <c r="A414" s="3" t="s">
        <v>1043</v>
      </c>
      <c r="B414" s="3" t="s">
        <v>90</v>
      </c>
      <c r="C414" s="4" t="s">
        <v>762</v>
      </c>
      <c r="D414" s="2" t="s">
        <v>763</v>
      </c>
      <c r="E414" s="2" t="s">
        <v>764</v>
      </c>
      <c r="F414" s="2" t="s">
        <v>765</v>
      </c>
    </row>
    <row r="415" spans="1:6">
      <c r="A415" s="3" t="s">
        <v>1043</v>
      </c>
      <c r="B415" s="3" t="s">
        <v>90</v>
      </c>
      <c r="C415" s="4" t="s">
        <v>766</v>
      </c>
      <c r="D415" s="2" t="s">
        <v>767</v>
      </c>
      <c r="E415" s="2" t="s">
        <v>768</v>
      </c>
      <c r="F415" s="2" t="s">
        <v>767</v>
      </c>
    </row>
    <row r="416" spans="1:6">
      <c r="A416" s="3" t="s">
        <v>1043</v>
      </c>
      <c r="B416" s="3" t="s">
        <v>90</v>
      </c>
      <c r="C416" s="4" t="s">
        <v>915</v>
      </c>
      <c r="D416" s="2" t="s">
        <v>916</v>
      </c>
      <c r="E416" s="2" t="s">
        <v>917</v>
      </c>
      <c r="F416" s="2" t="s">
        <v>918</v>
      </c>
    </row>
    <row r="417" spans="1:6">
      <c r="A417" s="3" t="s">
        <v>1043</v>
      </c>
      <c r="B417" s="3" t="s">
        <v>90</v>
      </c>
      <c r="C417" s="4" t="s">
        <v>1056</v>
      </c>
      <c r="D417" s="2" t="s">
        <v>1057</v>
      </c>
      <c r="E417" s="2" t="s">
        <v>1058</v>
      </c>
      <c r="F417" s="2" t="s">
        <v>1057</v>
      </c>
    </row>
    <row r="418" spans="1:6">
      <c r="A418" s="3" t="s">
        <v>1043</v>
      </c>
      <c r="B418" s="3" t="s">
        <v>90</v>
      </c>
      <c r="C418" s="4" t="s">
        <v>1059</v>
      </c>
      <c r="D418" s="2" t="s">
        <v>1060</v>
      </c>
      <c r="E418" s="2" t="s">
        <v>1061</v>
      </c>
      <c r="F418" s="2" t="s">
        <v>1062</v>
      </c>
    </row>
    <row r="419" spans="1:6">
      <c r="A419" s="3" t="s">
        <v>1043</v>
      </c>
      <c r="B419" s="3" t="s">
        <v>90</v>
      </c>
      <c r="C419" s="4" t="s">
        <v>1063</v>
      </c>
      <c r="D419" s="2" t="s">
        <v>1064</v>
      </c>
      <c r="E419" s="2" t="s">
        <v>1065</v>
      </c>
      <c r="F419" s="2" t="s">
        <v>1066</v>
      </c>
    </row>
    <row r="420" spans="1:6">
      <c r="A420" s="3" t="s">
        <v>1043</v>
      </c>
      <c r="B420" s="3" t="s">
        <v>90</v>
      </c>
      <c r="C420" s="4" t="s">
        <v>1067</v>
      </c>
      <c r="D420" s="2" t="s">
        <v>1068</v>
      </c>
      <c r="E420" s="2" t="s">
        <v>1069</v>
      </c>
      <c r="F420" s="2" t="s">
        <v>1068</v>
      </c>
    </row>
    <row r="421" spans="1:6">
      <c r="A421" s="3" t="s">
        <v>1043</v>
      </c>
      <c r="B421" s="3" t="s">
        <v>90</v>
      </c>
      <c r="C421" s="4" t="s">
        <v>1070</v>
      </c>
      <c r="D421" s="2" t="s">
        <v>1071</v>
      </c>
      <c r="E421" s="2" t="s">
        <v>1072</v>
      </c>
      <c r="F421" s="2" t="s">
        <v>1071</v>
      </c>
    </row>
    <row r="422" spans="1:6">
      <c r="A422" s="3" t="s">
        <v>1043</v>
      </c>
      <c r="B422" s="3" t="s">
        <v>90</v>
      </c>
      <c r="C422" s="4" t="s">
        <v>1073</v>
      </c>
      <c r="D422" s="2" t="s">
        <v>1074</v>
      </c>
      <c r="E422" s="2" t="s">
        <v>1075</v>
      </c>
      <c r="F422" s="2" t="s">
        <v>1076</v>
      </c>
    </row>
    <row r="423" spans="1:6">
      <c r="A423" s="3" t="s">
        <v>1043</v>
      </c>
      <c r="B423" s="3" t="s">
        <v>90</v>
      </c>
      <c r="C423" s="4" t="s">
        <v>1077</v>
      </c>
      <c r="D423" s="2" t="s">
        <v>1078</v>
      </c>
      <c r="E423" s="2" t="s">
        <v>1079</v>
      </c>
      <c r="F423" s="2" t="s">
        <v>1080</v>
      </c>
    </row>
    <row r="424" spans="1:6">
      <c r="A424" s="3" t="s">
        <v>1043</v>
      </c>
      <c r="B424" s="3" t="s">
        <v>90</v>
      </c>
      <c r="C424" s="4" t="s">
        <v>164</v>
      </c>
      <c r="D424" s="2" t="s">
        <v>60</v>
      </c>
      <c r="E424" s="2" t="s">
        <v>165</v>
      </c>
      <c r="F424" s="2" t="s">
        <v>166</v>
      </c>
    </row>
    <row r="425" spans="1:6">
      <c r="A425" s="3" t="s">
        <v>1043</v>
      </c>
      <c r="B425" s="3" t="s">
        <v>90</v>
      </c>
      <c r="C425" s="4" t="s">
        <v>167</v>
      </c>
      <c r="D425" s="2" t="s">
        <v>61</v>
      </c>
      <c r="E425" s="2" t="s">
        <v>168</v>
      </c>
      <c r="F425" s="2" t="s">
        <v>169</v>
      </c>
    </row>
    <row r="426" spans="1:6">
      <c r="A426" s="3" t="s">
        <v>1043</v>
      </c>
      <c r="B426" s="3" t="s">
        <v>90</v>
      </c>
      <c r="C426" s="4" t="s">
        <v>170</v>
      </c>
      <c r="D426" s="2" t="s">
        <v>68</v>
      </c>
      <c r="E426" s="2" t="s">
        <v>171</v>
      </c>
      <c r="F426" s="2" t="s">
        <v>172</v>
      </c>
    </row>
    <row r="427" spans="1:6">
      <c r="A427" s="3" t="s">
        <v>1043</v>
      </c>
      <c r="B427" s="3" t="s">
        <v>90</v>
      </c>
      <c r="C427" s="4" t="s">
        <v>797</v>
      </c>
      <c r="D427" s="2" t="s">
        <v>798</v>
      </c>
      <c r="E427" s="2" t="s">
        <v>799</v>
      </c>
      <c r="F427" s="2" t="s">
        <v>798</v>
      </c>
    </row>
    <row r="428" spans="1:6">
      <c r="A428" s="3" t="s">
        <v>1043</v>
      </c>
      <c r="B428" s="3" t="s">
        <v>90</v>
      </c>
      <c r="C428" s="4" t="s">
        <v>800</v>
      </c>
      <c r="D428" s="2" t="s">
        <v>71</v>
      </c>
      <c r="E428" s="2" t="s">
        <v>801</v>
      </c>
      <c r="F428" s="2" t="s">
        <v>802</v>
      </c>
    </row>
    <row r="429" spans="1:6">
      <c r="A429" s="3" t="s">
        <v>1043</v>
      </c>
      <c r="B429" s="3" t="s">
        <v>90</v>
      </c>
      <c r="C429" s="4" t="s">
        <v>803</v>
      </c>
      <c r="D429" s="2" t="s">
        <v>804</v>
      </c>
      <c r="E429" s="2" t="s">
        <v>805</v>
      </c>
      <c r="F429" s="2" t="s">
        <v>806</v>
      </c>
    </row>
    <row r="430" spans="1:6">
      <c r="A430" s="3" t="s">
        <v>1043</v>
      </c>
      <c r="B430" s="3" t="s">
        <v>90</v>
      </c>
      <c r="C430" s="4" t="s">
        <v>807</v>
      </c>
      <c r="D430" s="2" t="s">
        <v>808</v>
      </c>
      <c r="E430" s="2" t="s">
        <v>809</v>
      </c>
      <c r="F430" s="2" t="s">
        <v>810</v>
      </c>
    </row>
    <row r="431" spans="1:6">
      <c r="A431" s="3" t="s">
        <v>1043</v>
      </c>
      <c r="B431" s="3" t="s">
        <v>90</v>
      </c>
      <c r="C431" s="4" t="s">
        <v>811</v>
      </c>
      <c r="D431" s="2" t="s">
        <v>812</v>
      </c>
      <c r="E431" s="2" t="s">
        <v>813</v>
      </c>
      <c r="F431" s="2" t="s">
        <v>814</v>
      </c>
    </row>
    <row r="432" spans="1:6">
      <c r="A432" s="3" t="s">
        <v>1043</v>
      </c>
      <c r="B432" s="3" t="s">
        <v>90</v>
      </c>
      <c r="C432" s="4" t="s">
        <v>815</v>
      </c>
      <c r="D432" s="2" t="s">
        <v>816</v>
      </c>
      <c r="E432" s="2" t="s">
        <v>817</v>
      </c>
      <c r="F432" s="2" t="s">
        <v>818</v>
      </c>
    </row>
    <row r="433" spans="1:6">
      <c r="A433" s="3" t="s">
        <v>1043</v>
      </c>
      <c r="B433" s="3" t="s">
        <v>90</v>
      </c>
      <c r="C433" s="4" t="s">
        <v>819</v>
      </c>
      <c r="D433" s="2" t="s">
        <v>820</v>
      </c>
      <c r="E433" s="2" t="s">
        <v>821</v>
      </c>
      <c r="F433" s="2" t="s">
        <v>822</v>
      </c>
    </row>
    <row r="434" spans="1:6">
      <c r="A434" s="3" t="s">
        <v>1043</v>
      </c>
      <c r="B434" s="3" t="s">
        <v>90</v>
      </c>
      <c r="C434" s="4" t="s">
        <v>823</v>
      </c>
      <c r="D434" s="2" t="s">
        <v>824</v>
      </c>
      <c r="E434" s="2" t="s">
        <v>825</v>
      </c>
      <c r="F434" s="2" t="s">
        <v>826</v>
      </c>
    </row>
    <row r="435" spans="1:6">
      <c r="A435" s="3" t="s">
        <v>1043</v>
      </c>
      <c r="B435" s="3" t="s">
        <v>90</v>
      </c>
      <c r="C435" s="4" t="s">
        <v>827</v>
      </c>
      <c r="D435" s="2" t="s">
        <v>828</v>
      </c>
      <c r="E435" s="2" t="s">
        <v>829</v>
      </c>
      <c r="F435" s="2" t="s">
        <v>830</v>
      </c>
    </row>
    <row r="436" spans="1:6">
      <c r="A436" s="3" t="s">
        <v>1043</v>
      </c>
      <c r="B436" s="3" t="s">
        <v>90</v>
      </c>
      <c r="C436" s="4" t="s">
        <v>831</v>
      </c>
      <c r="D436" s="2" t="s">
        <v>832</v>
      </c>
      <c r="E436" s="2" t="s">
        <v>833</v>
      </c>
      <c r="F436" s="2" t="s">
        <v>834</v>
      </c>
    </row>
    <row r="437" spans="1:6">
      <c r="A437" s="3" t="s">
        <v>1043</v>
      </c>
      <c r="B437" s="3" t="s">
        <v>90</v>
      </c>
      <c r="C437" s="4" t="s">
        <v>835</v>
      </c>
      <c r="D437" s="2" t="s">
        <v>836</v>
      </c>
      <c r="E437" s="2" t="s">
        <v>837</v>
      </c>
      <c r="F437" s="2" t="s">
        <v>838</v>
      </c>
    </row>
    <row r="438" spans="1:6">
      <c r="A438" s="3" t="s">
        <v>1043</v>
      </c>
      <c r="B438" s="3" t="s">
        <v>90</v>
      </c>
      <c r="C438" s="4" t="s">
        <v>839</v>
      </c>
      <c r="D438" s="2" t="s">
        <v>840</v>
      </c>
      <c r="E438" s="2" t="s">
        <v>841</v>
      </c>
      <c r="F438" s="2" t="s">
        <v>842</v>
      </c>
    </row>
    <row r="439" spans="1:6">
      <c r="A439" s="3" t="s">
        <v>1043</v>
      </c>
      <c r="B439" s="3" t="s">
        <v>90</v>
      </c>
      <c r="C439" s="4" t="s">
        <v>843</v>
      </c>
      <c r="D439" s="2" t="s">
        <v>844</v>
      </c>
      <c r="E439" s="2" t="s">
        <v>845</v>
      </c>
      <c r="F439" s="2" t="s">
        <v>846</v>
      </c>
    </row>
    <row r="440" spans="1:6">
      <c r="A440" s="3" t="s">
        <v>1043</v>
      </c>
      <c r="B440" s="3" t="s">
        <v>90</v>
      </c>
      <c r="C440" s="4" t="s">
        <v>847</v>
      </c>
      <c r="D440" s="2" t="s">
        <v>848</v>
      </c>
      <c r="E440" s="2" t="s">
        <v>849</v>
      </c>
      <c r="F440" s="2" t="s">
        <v>850</v>
      </c>
    </row>
    <row r="441" spans="1:6">
      <c r="A441" s="3" t="s">
        <v>1043</v>
      </c>
      <c r="B441" s="3" t="s">
        <v>90</v>
      </c>
      <c r="C441" s="4" t="s">
        <v>851</v>
      </c>
      <c r="D441" s="2" t="s">
        <v>852</v>
      </c>
      <c r="E441" s="2" t="s">
        <v>853</v>
      </c>
      <c r="F441" s="2" t="s">
        <v>854</v>
      </c>
    </row>
    <row r="442" spans="1:6">
      <c r="A442" s="3" t="s">
        <v>1043</v>
      </c>
      <c r="B442" s="3" t="s">
        <v>90</v>
      </c>
      <c r="C442" s="4" t="s">
        <v>855</v>
      </c>
      <c r="D442" s="2" t="s">
        <v>856</v>
      </c>
      <c r="E442" s="2" t="s">
        <v>857</v>
      </c>
      <c r="F442" s="2" t="s">
        <v>856</v>
      </c>
    </row>
    <row r="443" spans="1:6">
      <c r="A443" s="3" t="s">
        <v>1043</v>
      </c>
      <c r="B443" s="3" t="s">
        <v>90</v>
      </c>
      <c r="C443" s="4" t="s">
        <v>858</v>
      </c>
      <c r="D443" s="2" t="s">
        <v>859</v>
      </c>
      <c r="E443" s="2" t="s">
        <v>860</v>
      </c>
      <c r="F443" s="2" t="s">
        <v>861</v>
      </c>
    </row>
    <row r="444" spans="1:6">
      <c r="A444" s="3" t="s">
        <v>1043</v>
      </c>
      <c r="B444" s="3" t="s">
        <v>90</v>
      </c>
      <c r="C444" s="4" t="s">
        <v>942</v>
      </c>
      <c r="D444" s="2" t="s">
        <v>943</v>
      </c>
      <c r="E444" s="2" t="s">
        <v>944</v>
      </c>
      <c r="F444" s="2" t="s">
        <v>945</v>
      </c>
    </row>
    <row r="445" spans="1:6">
      <c r="A445" s="3" t="s">
        <v>1043</v>
      </c>
      <c r="B445" s="3" t="s">
        <v>90</v>
      </c>
      <c r="C445" s="4" t="s">
        <v>946</v>
      </c>
      <c r="D445" s="2" t="s">
        <v>947</v>
      </c>
      <c r="E445" s="2" t="s">
        <v>948</v>
      </c>
      <c r="F445" s="2" t="s">
        <v>949</v>
      </c>
    </row>
    <row r="446" spans="1:6">
      <c r="A446" s="3" t="s">
        <v>1043</v>
      </c>
      <c r="B446" s="3" t="s">
        <v>90</v>
      </c>
      <c r="C446" s="4" t="s">
        <v>954</v>
      </c>
      <c r="D446" s="2" t="s">
        <v>955</v>
      </c>
      <c r="E446" s="2" t="s">
        <v>956</v>
      </c>
      <c r="F446" s="2" t="s">
        <v>957</v>
      </c>
    </row>
    <row r="447" spans="1:6">
      <c r="A447" s="3" t="s">
        <v>1043</v>
      </c>
      <c r="B447" s="3" t="s">
        <v>90</v>
      </c>
      <c r="C447" s="4" t="s">
        <v>862</v>
      </c>
      <c r="D447" s="2" t="s">
        <v>863</v>
      </c>
      <c r="E447" s="2" t="s">
        <v>864</v>
      </c>
      <c r="F447" s="2" t="s">
        <v>865</v>
      </c>
    </row>
    <row r="448" spans="1:6">
      <c r="A448" s="3" t="s">
        <v>1043</v>
      </c>
      <c r="B448" s="3" t="s">
        <v>90</v>
      </c>
      <c r="C448" s="4" t="s">
        <v>866</v>
      </c>
      <c r="D448" s="2" t="s">
        <v>867</v>
      </c>
      <c r="E448" s="2" t="s">
        <v>868</v>
      </c>
      <c r="F448" s="2" t="s">
        <v>869</v>
      </c>
    </row>
    <row r="449" spans="1:6">
      <c r="A449" s="3" t="s">
        <v>1043</v>
      </c>
      <c r="B449" s="3" t="s">
        <v>90</v>
      </c>
      <c r="C449" s="4" t="s">
        <v>870</v>
      </c>
      <c r="D449" s="2" t="s">
        <v>871</v>
      </c>
      <c r="E449" s="2" t="s">
        <v>872</v>
      </c>
      <c r="F449" s="2" t="s">
        <v>873</v>
      </c>
    </row>
    <row r="450" spans="1:6">
      <c r="A450" s="3" t="s">
        <v>1043</v>
      </c>
      <c r="B450" s="3" t="s">
        <v>90</v>
      </c>
      <c r="C450" s="4" t="s">
        <v>874</v>
      </c>
      <c r="D450" s="2" t="s">
        <v>875</v>
      </c>
      <c r="E450" s="2" t="s">
        <v>876</v>
      </c>
      <c r="F450" s="2" t="s">
        <v>877</v>
      </c>
    </row>
    <row r="451" spans="1:6">
      <c r="A451" s="3" t="s">
        <v>1043</v>
      </c>
      <c r="B451" s="3" t="s">
        <v>90</v>
      </c>
      <c r="C451" s="4" t="s">
        <v>878</v>
      </c>
      <c r="D451" s="2" t="s">
        <v>879</v>
      </c>
      <c r="E451" s="2" t="s">
        <v>880</v>
      </c>
      <c r="F451" s="2" t="s">
        <v>881</v>
      </c>
    </row>
    <row r="452" spans="1:6">
      <c r="A452" s="3" t="s">
        <v>1043</v>
      </c>
      <c r="B452" s="3" t="s">
        <v>90</v>
      </c>
      <c r="C452" s="4" t="s">
        <v>882</v>
      </c>
      <c r="D452" s="2" t="s">
        <v>883</v>
      </c>
      <c r="E452" s="2" t="s">
        <v>884</v>
      </c>
      <c r="F452" s="2" t="s">
        <v>885</v>
      </c>
    </row>
    <row r="453" spans="1:6">
      <c r="A453" s="3" t="s">
        <v>1043</v>
      </c>
      <c r="B453" s="3" t="s">
        <v>90</v>
      </c>
      <c r="C453" s="4" t="s">
        <v>1081</v>
      </c>
      <c r="D453" s="2" t="s">
        <v>1082</v>
      </c>
      <c r="E453" s="2" t="s">
        <v>1083</v>
      </c>
      <c r="F453" s="2" t="s">
        <v>1084</v>
      </c>
    </row>
    <row r="454" spans="1:6">
      <c r="A454" s="3" t="s">
        <v>1043</v>
      </c>
      <c r="B454" s="3" t="s">
        <v>90</v>
      </c>
      <c r="C454" s="4" t="s">
        <v>1085</v>
      </c>
      <c r="D454" s="2" t="s">
        <v>1086</v>
      </c>
      <c r="E454" s="2" t="s">
        <v>1087</v>
      </c>
      <c r="F454" s="2" t="s">
        <v>1088</v>
      </c>
    </row>
    <row r="455" spans="1:6">
      <c r="A455" s="3" t="s">
        <v>1043</v>
      </c>
      <c r="B455" s="3" t="s">
        <v>90</v>
      </c>
      <c r="C455" s="4" t="s">
        <v>1089</v>
      </c>
      <c r="D455" s="2" t="s">
        <v>1090</v>
      </c>
      <c r="E455" s="2" t="s">
        <v>1091</v>
      </c>
      <c r="F455" s="2" t="s">
        <v>1092</v>
      </c>
    </row>
    <row r="456" spans="1:6">
      <c r="A456" s="3" t="s">
        <v>1043</v>
      </c>
      <c r="B456" s="3" t="s">
        <v>90</v>
      </c>
      <c r="C456" s="4" t="s">
        <v>1093</v>
      </c>
      <c r="D456" s="2" t="s">
        <v>1094</v>
      </c>
      <c r="E456" s="2" t="s">
        <v>1095</v>
      </c>
      <c r="F456" s="2" t="s">
        <v>1096</v>
      </c>
    </row>
    <row r="457" spans="1:6">
      <c r="A457" s="3" t="s">
        <v>1043</v>
      </c>
      <c r="B457" s="3" t="s">
        <v>90</v>
      </c>
      <c r="C457" s="4" t="s">
        <v>1097</v>
      </c>
      <c r="D457" s="2" t="s">
        <v>1098</v>
      </c>
      <c r="E457" s="2" t="s">
        <v>1099</v>
      </c>
      <c r="F457" s="2" t="s">
        <v>1100</v>
      </c>
    </row>
    <row r="458" spans="1:6">
      <c r="A458" s="3" t="s">
        <v>1043</v>
      </c>
      <c r="B458" s="3" t="s">
        <v>90</v>
      </c>
      <c r="C458" s="4" t="s">
        <v>1101</v>
      </c>
      <c r="D458" s="2" t="s">
        <v>1102</v>
      </c>
      <c r="E458" s="2" t="s">
        <v>1103</v>
      </c>
      <c r="F458" s="2" t="s">
        <v>1104</v>
      </c>
    </row>
    <row r="459" spans="1:6">
      <c r="A459" s="3" t="s">
        <v>1043</v>
      </c>
      <c r="B459" s="3" t="s">
        <v>90</v>
      </c>
      <c r="C459" s="4" t="s">
        <v>1105</v>
      </c>
      <c r="D459" s="2" t="s">
        <v>1106</v>
      </c>
      <c r="E459" s="2" t="s">
        <v>1107</v>
      </c>
      <c r="F459" s="2" t="s">
        <v>1108</v>
      </c>
    </row>
    <row r="460" spans="1:6">
      <c r="A460" s="3" t="s">
        <v>1043</v>
      </c>
      <c r="B460" s="3" t="s">
        <v>90</v>
      </c>
      <c r="C460" s="4" t="s">
        <v>1109</v>
      </c>
      <c r="D460" s="2" t="s">
        <v>1110</v>
      </c>
      <c r="E460" s="2" t="s">
        <v>1111</v>
      </c>
      <c r="F460" s="2" t="s">
        <v>1112</v>
      </c>
    </row>
    <row r="461" spans="1:6">
      <c r="A461" s="3" t="s">
        <v>1043</v>
      </c>
      <c r="B461" s="3" t="s">
        <v>90</v>
      </c>
      <c r="C461" s="4" t="s">
        <v>1113</v>
      </c>
      <c r="D461" s="2" t="s">
        <v>1114</v>
      </c>
      <c r="E461" s="2" t="s">
        <v>1115</v>
      </c>
      <c r="F461" s="2" t="s">
        <v>1116</v>
      </c>
    </row>
    <row r="462" spans="1:6">
      <c r="A462" s="3" t="s">
        <v>1043</v>
      </c>
      <c r="B462" s="3" t="s">
        <v>90</v>
      </c>
      <c r="C462" s="4" t="s">
        <v>1117</v>
      </c>
      <c r="D462" s="2" t="s">
        <v>1118</v>
      </c>
      <c r="E462" s="2" t="s">
        <v>1119</v>
      </c>
      <c r="F462" s="2" t="s">
        <v>1120</v>
      </c>
    </row>
    <row r="463" spans="1:6">
      <c r="A463" s="3" t="s">
        <v>1043</v>
      </c>
      <c r="B463" s="3" t="s">
        <v>90</v>
      </c>
      <c r="C463" s="4" t="s">
        <v>1121</v>
      </c>
      <c r="D463" s="2" t="s">
        <v>1122</v>
      </c>
      <c r="E463" s="2" t="s">
        <v>1123</v>
      </c>
      <c r="F463" s="2" t="s">
        <v>1124</v>
      </c>
    </row>
    <row r="464" spans="1:6">
      <c r="A464" s="3" t="s">
        <v>1043</v>
      </c>
      <c r="B464" s="3" t="s">
        <v>90</v>
      </c>
      <c r="C464" s="4" t="s">
        <v>1125</v>
      </c>
      <c r="D464" s="2" t="s">
        <v>1126</v>
      </c>
      <c r="E464" s="2" t="s">
        <v>1127</v>
      </c>
      <c r="F464" s="2" t="s">
        <v>1128</v>
      </c>
    </row>
    <row r="465" spans="1:6">
      <c r="A465" s="3" t="s">
        <v>1043</v>
      </c>
      <c r="B465" s="3" t="s">
        <v>90</v>
      </c>
      <c r="C465" s="4" t="s">
        <v>1129</v>
      </c>
      <c r="D465" s="2" t="s">
        <v>1130</v>
      </c>
      <c r="E465" s="2" t="s">
        <v>1131</v>
      </c>
      <c r="F465" s="2" t="s">
        <v>1132</v>
      </c>
    </row>
    <row r="466" spans="1:6">
      <c r="A466" s="3" t="s">
        <v>1133</v>
      </c>
      <c r="B466" s="3" t="s">
        <v>93</v>
      </c>
      <c r="C466" s="4" t="s">
        <v>116</v>
      </c>
      <c r="D466" s="2" t="s">
        <v>67</v>
      </c>
      <c r="E466" s="2" t="s">
        <v>117</v>
      </c>
      <c r="F466" s="2" t="s">
        <v>118</v>
      </c>
    </row>
    <row r="467" spans="1:6">
      <c r="A467" s="3" t="s">
        <v>1133</v>
      </c>
      <c r="B467" s="3" t="s">
        <v>93</v>
      </c>
      <c r="C467" s="4" t="s">
        <v>119</v>
      </c>
      <c r="D467" s="2" t="s">
        <v>69</v>
      </c>
      <c r="E467" s="2" t="s">
        <v>63</v>
      </c>
      <c r="F467" s="2" t="s">
        <v>120</v>
      </c>
    </row>
    <row r="468" spans="1:6">
      <c r="A468" s="3" t="s">
        <v>1133</v>
      </c>
      <c r="B468" s="3" t="s">
        <v>93</v>
      </c>
      <c r="C468" s="4" t="s">
        <v>121</v>
      </c>
      <c r="D468" s="2" t="s">
        <v>122</v>
      </c>
      <c r="E468" s="2" t="s">
        <v>123</v>
      </c>
      <c r="F468" s="2" t="s">
        <v>124</v>
      </c>
    </row>
    <row r="469" spans="1:6">
      <c r="A469" s="3" t="s">
        <v>1133</v>
      </c>
      <c r="B469" s="3" t="s">
        <v>93</v>
      </c>
      <c r="C469" s="4" t="s">
        <v>657</v>
      </c>
      <c r="D469" s="2" t="s">
        <v>658</v>
      </c>
      <c r="E469" s="2" t="s">
        <v>659</v>
      </c>
      <c r="F469" s="2" t="s">
        <v>660</v>
      </c>
    </row>
    <row r="470" spans="1:6">
      <c r="A470" s="3" t="s">
        <v>1133</v>
      </c>
      <c r="B470" s="3" t="s">
        <v>93</v>
      </c>
      <c r="C470" s="4" t="s">
        <v>1044</v>
      </c>
      <c r="D470" s="2" t="s">
        <v>1045</v>
      </c>
      <c r="E470" s="2" t="s">
        <v>1046</v>
      </c>
      <c r="F470" s="2" t="s">
        <v>1047</v>
      </c>
    </row>
    <row r="471" spans="1:6">
      <c r="A471" s="3" t="s">
        <v>1133</v>
      </c>
      <c r="B471" s="3" t="s">
        <v>93</v>
      </c>
      <c r="C471" s="4" t="s">
        <v>1048</v>
      </c>
      <c r="D471" s="2" t="s">
        <v>1049</v>
      </c>
      <c r="E471" s="2" t="s">
        <v>1050</v>
      </c>
      <c r="F471" s="2" t="s">
        <v>1051</v>
      </c>
    </row>
    <row r="472" spans="1:6">
      <c r="A472" s="3" t="s">
        <v>1133</v>
      </c>
      <c r="B472" s="3" t="s">
        <v>93</v>
      </c>
      <c r="C472" s="4" t="s">
        <v>1052</v>
      </c>
      <c r="D472" s="2" t="s">
        <v>1053</v>
      </c>
      <c r="E472" s="2" t="s">
        <v>1054</v>
      </c>
      <c r="F472" s="2" t="s">
        <v>1055</v>
      </c>
    </row>
    <row r="473" spans="1:6">
      <c r="A473" s="3" t="s">
        <v>1133</v>
      </c>
      <c r="B473" s="3" t="s">
        <v>93</v>
      </c>
      <c r="C473" s="4" t="s">
        <v>129</v>
      </c>
      <c r="D473" s="2" t="s">
        <v>73</v>
      </c>
      <c r="E473" s="2" t="s">
        <v>130</v>
      </c>
      <c r="F473" s="2" t="s">
        <v>131</v>
      </c>
    </row>
    <row r="474" spans="1:6">
      <c r="A474" s="3" t="s">
        <v>1133</v>
      </c>
      <c r="B474" s="3" t="s">
        <v>93</v>
      </c>
      <c r="C474" s="4" t="s">
        <v>132</v>
      </c>
      <c r="D474" s="2" t="s">
        <v>70</v>
      </c>
      <c r="E474" s="2" t="s">
        <v>133</v>
      </c>
      <c r="F474" s="2" t="s">
        <v>134</v>
      </c>
    </row>
    <row r="475" spans="1:6">
      <c r="A475" s="3" t="s">
        <v>1133</v>
      </c>
      <c r="B475" s="3" t="s">
        <v>93</v>
      </c>
      <c r="C475" s="4" t="s">
        <v>135</v>
      </c>
      <c r="D475" s="2" t="s">
        <v>136</v>
      </c>
      <c r="E475" s="2" t="s">
        <v>137</v>
      </c>
      <c r="F475" s="2" t="s">
        <v>138</v>
      </c>
    </row>
    <row r="476" spans="1:6">
      <c r="A476" s="3" t="s">
        <v>1133</v>
      </c>
      <c r="B476" s="3" t="s">
        <v>93</v>
      </c>
      <c r="C476" s="4" t="s">
        <v>139</v>
      </c>
      <c r="D476" s="2" t="s">
        <v>139</v>
      </c>
      <c r="E476" s="2" t="s">
        <v>140</v>
      </c>
      <c r="F476" s="2" t="s">
        <v>141</v>
      </c>
    </row>
    <row r="477" spans="1:6">
      <c r="A477" s="3" t="s">
        <v>1133</v>
      </c>
      <c r="B477" s="3" t="s">
        <v>93</v>
      </c>
      <c r="C477" s="4" t="s">
        <v>754</v>
      </c>
      <c r="D477" s="2" t="s">
        <v>755</v>
      </c>
      <c r="E477" s="2" t="s">
        <v>756</v>
      </c>
      <c r="F477" s="2" t="s">
        <v>757</v>
      </c>
    </row>
    <row r="478" spans="1:6">
      <c r="A478" s="3" t="s">
        <v>1133</v>
      </c>
      <c r="B478" s="3" t="s">
        <v>93</v>
      </c>
      <c r="C478" s="4" t="s">
        <v>907</v>
      </c>
      <c r="D478" s="2" t="s">
        <v>908</v>
      </c>
      <c r="E478" s="2" t="s">
        <v>909</v>
      </c>
      <c r="F478" s="2" t="s">
        <v>910</v>
      </c>
    </row>
    <row r="479" spans="1:6">
      <c r="A479" s="3" t="s">
        <v>1133</v>
      </c>
      <c r="B479" s="3" t="s">
        <v>93</v>
      </c>
      <c r="C479" s="4" t="s">
        <v>911</v>
      </c>
      <c r="D479" s="2" t="s">
        <v>912</v>
      </c>
      <c r="E479" s="2" t="s">
        <v>913</v>
      </c>
      <c r="F479" s="2" t="s">
        <v>914</v>
      </c>
    </row>
    <row r="480" spans="1:6">
      <c r="A480" s="3" t="s">
        <v>1133</v>
      </c>
      <c r="B480" s="3" t="s">
        <v>93</v>
      </c>
      <c r="C480" s="4" t="s">
        <v>758</v>
      </c>
      <c r="D480" s="2" t="s">
        <v>759</v>
      </c>
      <c r="E480" s="2" t="s">
        <v>760</v>
      </c>
      <c r="F480" s="2" t="s">
        <v>761</v>
      </c>
    </row>
    <row r="481" spans="1:6">
      <c r="A481" s="3" t="s">
        <v>1133</v>
      </c>
      <c r="B481" s="3" t="s">
        <v>93</v>
      </c>
      <c r="C481" s="4" t="s">
        <v>762</v>
      </c>
      <c r="D481" s="2" t="s">
        <v>763</v>
      </c>
      <c r="E481" s="2" t="s">
        <v>764</v>
      </c>
      <c r="F481" s="2" t="s">
        <v>765</v>
      </c>
    </row>
    <row r="482" spans="1:6">
      <c r="A482" s="3" t="s">
        <v>1133</v>
      </c>
      <c r="B482" s="3" t="s">
        <v>93</v>
      </c>
      <c r="C482" s="4" t="s">
        <v>766</v>
      </c>
      <c r="D482" s="2" t="s">
        <v>767</v>
      </c>
      <c r="E482" s="2" t="s">
        <v>768</v>
      </c>
      <c r="F482" s="2" t="s">
        <v>767</v>
      </c>
    </row>
    <row r="483" spans="1:6">
      <c r="A483" s="3" t="s">
        <v>1133</v>
      </c>
      <c r="B483" s="3" t="s">
        <v>93</v>
      </c>
      <c r="C483" s="4" t="s">
        <v>741</v>
      </c>
      <c r="D483" s="2" t="s">
        <v>742</v>
      </c>
      <c r="E483" s="2" t="s">
        <v>743</v>
      </c>
      <c r="F483" s="2" t="s">
        <v>744</v>
      </c>
    </row>
    <row r="484" spans="1:6">
      <c r="A484" s="3" t="s">
        <v>1133</v>
      </c>
      <c r="B484" s="3" t="s">
        <v>93</v>
      </c>
      <c r="C484" s="4" t="s">
        <v>745</v>
      </c>
      <c r="D484" s="2" t="s">
        <v>746</v>
      </c>
      <c r="E484" s="2" t="s">
        <v>747</v>
      </c>
      <c r="F484" s="2" t="s">
        <v>748</v>
      </c>
    </row>
    <row r="485" spans="1:6">
      <c r="A485" s="3" t="s">
        <v>1133</v>
      </c>
      <c r="B485" s="3" t="s">
        <v>93</v>
      </c>
      <c r="C485" s="4" t="s">
        <v>915</v>
      </c>
      <c r="D485" s="2" t="s">
        <v>916</v>
      </c>
      <c r="E485" s="2" t="s">
        <v>917</v>
      </c>
      <c r="F485" s="2" t="s">
        <v>918</v>
      </c>
    </row>
    <row r="486" spans="1:6">
      <c r="A486" s="3" t="s">
        <v>1133</v>
      </c>
      <c r="B486" s="3" t="s">
        <v>93</v>
      </c>
      <c r="C486" s="4" t="s">
        <v>1056</v>
      </c>
      <c r="D486" s="2" t="s">
        <v>1057</v>
      </c>
      <c r="E486" s="2" t="s">
        <v>1058</v>
      </c>
      <c r="F486" s="2" t="s">
        <v>1057</v>
      </c>
    </row>
    <row r="487" spans="1:6">
      <c r="A487" s="3" t="s">
        <v>1133</v>
      </c>
      <c r="B487" s="3" t="s">
        <v>93</v>
      </c>
      <c r="C487" s="4" t="s">
        <v>1134</v>
      </c>
      <c r="D487" s="2" t="s">
        <v>1135</v>
      </c>
      <c r="E487" s="2" t="s">
        <v>1136</v>
      </c>
      <c r="F487" s="2" t="s">
        <v>1137</v>
      </c>
    </row>
    <row r="488" spans="1:6">
      <c r="A488" s="3" t="s">
        <v>1133</v>
      </c>
      <c r="B488" s="3" t="s">
        <v>93</v>
      </c>
      <c r="C488" s="4" t="s">
        <v>1138</v>
      </c>
      <c r="D488" s="2" t="s">
        <v>1139</v>
      </c>
      <c r="E488" s="2" t="s">
        <v>1140</v>
      </c>
      <c r="F488" s="2" t="s">
        <v>1141</v>
      </c>
    </row>
    <row r="489" spans="1:6">
      <c r="A489" s="3" t="s">
        <v>1133</v>
      </c>
      <c r="B489" s="3" t="s">
        <v>93</v>
      </c>
      <c r="C489" s="4" t="s">
        <v>1059</v>
      </c>
      <c r="D489" s="2" t="s">
        <v>1060</v>
      </c>
      <c r="E489" s="2" t="s">
        <v>1061</v>
      </c>
      <c r="F489" s="2" t="s">
        <v>1062</v>
      </c>
    </row>
    <row r="490" spans="1:6">
      <c r="A490" s="3" t="s">
        <v>1133</v>
      </c>
      <c r="B490" s="3" t="s">
        <v>93</v>
      </c>
      <c r="C490" s="4" t="s">
        <v>1142</v>
      </c>
      <c r="D490" s="2" t="s">
        <v>1143</v>
      </c>
      <c r="E490" s="2" t="s">
        <v>1144</v>
      </c>
      <c r="F490" s="2" t="s">
        <v>1145</v>
      </c>
    </row>
    <row r="491" spans="1:6">
      <c r="A491" s="3" t="s">
        <v>1133</v>
      </c>
      <c r="B491" s="3" t="s">
        <v>93</v>
      </c>
      <c r="C491" s="4" t="s">
        <v>1146</v>
      </c>
      <c r="D491" s="2" t="s">
        <v>1147</v>
      </c>
      <c r="E491" s="2" t="s">
        <v>1148</v>
      </c>
      <c r="F491" s="2" t="s">
        <v>1149</v>
      </c>
    </row>
    <row r="492" spans="1:6">
      <c r="A492" s="3" t="s">
        <v>1133</v>
      </c>
      <c r="B492" s="3" t="s">
        <v>93</v>
      </c>
      <c r="C492" s="4" t="s">
        <v>919</v>
      </c>
      <c r="D492" s="2" t="s">
        <v>920</v>
      </c>
      <c r="E492" s="2" t="s">
        <v>921</v>
      </c>
      <c r="F492" s="2" t="s">
        <v>922</v>
      </c>
    </row>
    <row r="493" spans="1:6">
      <c r="A493" s="3" t="s">
        <v>1133</v>
      </c>
      <c r="B493" s="3" t="s">
        <v>93</v>
      </c>
      <c r="C493" s="4" t="s">
        <v>923</v>
      </c>
      <c r="D493" s="2" t="s">
        <v>924</v>
      </c>
      <c r="E493" s="2" t="s">
        <v>925</v>
      </c>
      <c r="F493" s="2" t="s">
        <v>922</v>
      </c>
    </row>
    <row r="494" spans="1:6">
      <c r="A494" s="3" t="s">
        <v>1133</v>
      </c>
      <c r="B494" s="3" t="s">
        <v>93</v>
      </c>
      <c r="C494" s="4" t="s">
        <v>769</v>
      </c>
      <c r="D494" s="2" t="s">
        <v>770</v>
      </c>
      <c r="E494" s="2" t="s">
        <v>771</v>
      </c>
      <c r="F494" s="2" t="s">
        <v>772</v>
      </c>
    </row>
    <row r="495" spans="1:6">
      <c r="A495" s="3" t="s">
        <v>1133</v>
      </c>
      <c r="B495" s="3" t="s">
        <v>93</v>
      </c>
      <c r="C495" s="4" t="s">
        <v>773</v>
      </c>
      <c r="D495" s="2" t="s">
        <v>774</v>
      </c>
      <c r="E495" s="2" t="s">
        <v>775</v>
      </c>
      <c r="F495" s="2" t="s">
        <v>776</v>
      </c>
    </row>
    <row r="496" spans="1:6">
      <c r="A496" s="3" t="s">
        <v>1133</v>
      </c>
      <c r="B496" s="3" t="s">
        <v>93</v>
      </c>
      <c r="C496" s="4" t="s">
        <v>1150</v>
      </c>
      <c r="D496" s="2" t="s">
        <v>1151</v>
      </c>
      <c r="E496" s="2" t="s">
        <v>1152</v>
      </c>
      <c r="F496" s="2" t="s">
        <v>1153</v>
      </c>
    </row>
    <row r="497" spans="1:6">
      <c r="A497" s="3" t="s">
        <v>1133</v>
      </c>
      <c r="B497" s="3" t="s">
        <v>93</v>
      </c>
      <c r="C497" s="4" t="s">
        <v>1154</v>
      </c>
      <c r="D497" s="2" t="s">
        <v>1155</v>
      </c>
      <c r="E497" s="2" t="s">
        <v>1156</v>
      </c>
      <c r="F497" s="2" t="s">
        <v>1157</v>
      </c>
    </row>
    <row r="498" spans="1:6">
      <c r="A498" s="3" t="s">
        <v>1133</v>
      </c>
      <c r="B498" s="3" t="s">
        <v>93</v>
      </c>
      <c r="C498" s="4" t="s">
        <v>1158</v>
      </c>
      <c r="D498" s="2" t="s">
        <v>1159</v>
      </c>
      <c r="E498" s="2" t="s">
        <v>1160</v>
      </c>
      <c r="F498" s="2" t="s">
        <v>1161</v>
      </c>
    </row>
    <row r="499" spans="1:6">
      <c r="A499" s="3" t="s">
        <v>1133</v>
      </c>
      <c r="B499" s="3" t="s">
        <v>93</v>
      </c>
      <c r="C499" s="4" t="s">
        <v>777</v>
      </c>
      <c r="D499" s="2" t="s">
        <v>778</v>
      </c>
      <c r="E499" s="2" t="s">
        <v>779</v>
      </c>
      <c r="F499" s="2" t="s">
        <v>780</v>
      </c>
    </row>
    <row r="500" spans="1:6">
      <c r="A500" s="3" t="s">
        <v>1133</v>
      </c>
      <c r="B500" s="3" t="s">
        <v>93</v>
      </c>
      <c r="C500" s="4" t="s">
        <v>1063</v>
      </c>
      <c r="D500" s="2" t="s">
        <v>1064</v>
      </c>
      <c r="E500" s="2" t="s">
        <v>1065</v>
      </c>
      <c r="F500" s="2" t="s">
        <v>1066</v>
      </c>
    </row>
    <row r="501" spans="1:6">
      <c r="A501" s="3" t="s">
        <v>1133</v>
      </c>
      <c r="B501" s="3" t="s">
        <v>93</v>
      </c>
      <c r="C501" s="4" t="s">
        <v>926</v>
      </c>
      <c r="D501" s="2" t="s">
        <v>927</v>
      </c>
      <c r="E501" s="2" t="s">
        <v>928</v>
      </c>
      <c r="F501" s="2" t="s">
        <v>929</v>
      </c>
    </row>
    <row r="502" spans="1:6">
      <c r="A502" s="3" t="s">
        <v>1133</v>
      </c>
      <c r="B502" s="3" t="s">
        <v>93</v>
      </c>
      <c r="C502" s="4" t="s">
        <v>930</v>
      </c>
      <c r="D502" s="2" t="s">
        <v>931</v>
      </c>
      <c r="E502" s="2" t="s">
        <v>932</v>
      </c>
      <c r="F502" s="2" t="s">
        <v>933</v>
      </c>
    </row>
    <row r="503" spans="1:6">
      <c r="A503" s="3" t="s">
        <v>1133</v>
      </c>
      <c r="B503" s="3" t="s">
        <v>93</v>
      </c>
      <c r="C503" s="4" t="s">
        <v>1067</v>
      </c>
      <c r="D503" s="2" t="s">
        <v>1068</v>
      </c>
      <c r="E503" s="2" t="s">
        <v>1069</v>
      </c>
      <c r="F503" s="2" t="s">
        <v>1068</v>
      </c>
    </row>
    <row r="504" spans="1:6">
      <c r="A504" s="3" t="s">
        <v>1133</v>
      </c>
      <c r="B504" s="3" t="s">
        <v>93</v>
      </c>
      <c r="C504" s="4" t="s">
        <v>1070</v>
      </c>
      <c r="D504" s="2" t="s">
        <v>1071</v>
      </c>
      <c r="E504" s="2" t="s">
        <v>1072</v>
      </c>
      <c r="F504" s="2" t="s">
        <v>1071</v>
      </c>
    </row>
    <row r="505" spans="1:6">
      <c r="A505" s="3" t="s">
        <v>1133</v>
      </c>
      <c r="B505" s="3" t="s">
        <v>93</v>
      </c>
      <c r="C505" s="4" t="s">
        <v>1162</v>
      </c>
      <c r="D505" s="2" t="s">
        <v>1163</v>
      </c>
      <c r="E505" s="2" t="s">
        <v>1164</v>
      </c>
      <c r="F505" s="2" t="s">
        <v>1163</v>
      </c>
    </row>
    <row r="506" spans="1:6">
      <c r="A506" s="3" t="s">
        <v>1133</v>
      </c>
      <c r="B506" s="3" t="s">
        <v>93</v>
      </c>
      <c r="C506" s="4" t="s">
        <v>164</v>
      </c>
      <c r="D506" s="2" t="s">
        <v>60</v>
      </c>
      <c r="E506" s="2" t="s">
        <v>165</v>
      </c>
      <c r="F506" s="2" t="s">
        <v>166</v>
      </c>
    </row>
    <row r="507" spans="1:6">
      <c r="A507" s="3" t="s">
        <v>1133</v>
      </c>
      <c r="B507" s="3" t="s">
        <v>93</v>
      </c>
      <c r="C507" s="4" t="s">
        <v>167</v>
      </c>
      <c r="D507" s="2" t="s">
        <v>61</v>
      </c>
      <c r="E507" s="2" t="s">
        <v>168</v>
      </c>
      <c r="F507" s="2" t="s">
        <v>169</v>
      </c>
    </row>
    <row r="508" spans="1:6">
      <c r="A508" s="3" t="s">
        <v>1133</v>
      </c>
      <c r="B508" s="3" t="s">
        <v>93</v>
      </c>
      <c r="C508" s="4" t="s">
        <v>170</v>
      </c>
      <c r="D508" s="2" t="s">
        <v>68</v>
      </c>
      <c r="E508" s="2" t="s">
        <v>171</v>
      </c>
      <c r="F508" s="2" t="s">
        <v>172</v>
      </c>
    </row>
    <row r="509" spans="1:6">
      <c r="A509" s="3" t="s">
        <v>1133</v>
      </c>
      <c r="B509" s="3" t="s">
        <v>93</v>
      </c>
      <c r="C509" s="4" t="s">
        <v>173</v>
      </c>
      <c r="D509" s="2" t="s">
        <v>174</v>
      </c>
      <c r="E509" s="2" t="s">
        <v>175</v>
      </c>
      <c r="F509" s="2" t="s">
        <v>176</v>
      </c>
    </row>
    <row r="510" spans="1:6">
      <c r="A510" s="3" t="s">
        <v>1133</v>
      </c>
      <c r="B510" s="3" t="s">
        <v>93</v>
      </c>
      <c r="C510" s="4" t="s">
        <v>797</v>
      </c>
      <c r="D510" s="2" t="s">
        <v>798</v>
      </c>
      <c r="E510" s="2" t="s">
        <v>799</v>
      </c>
      <c r="F510" s="2" t="s">
        <v>798</v>
      </c>
    </row>
    <row r="511" spans="1:6">
      <c r="A511" s="3" t="s">
        <v>1133</v>
      </c>
      <c r="B511" s="3" t="s">
        <v>93</v>
      </c>
      <c r="C511" s="4" t="s">
        <v>177</v>
      </c>
      <c r="D511" s="2" t="s">
        <v>178</v>
      </c>
      <c r="E511" s="2" t="s">
        <v>179</v>
      </c>
      <c r="F511" s="2" t="s">
        <v>180</v>
      </c>
    </row>
    <row r="512" spans="1:6">
      <c r="A512" s="3" t="s">
        <v>1133</v>
      </c>
      <c r="B512" s="3" t="s">
        <v>93</v>
      </c>
      <c r="C512" s="4" t="s">
        <v>181</v>
      </c>
      <c r="D512" s="2" t="s">
        <v>182</v>
      </c>
      <c r="E512" s="2" t="s">
        <v>183</v>
      </c>
      <c r="F512" s="2" t="s">
        <v>184</v>
      </c>
    </row>
    <row r="513" spans="1:6">
      <c r="A513" s="3" t="s">
        <v>1133</v>
      </c>
      <c r="B513" s="3" t="s">
        <v>93</v>
      </c>
      <c r="C513" s="4" t="s">
        <v>800</v>
      </c>
      <c r="D513" s="2" t="s">
        <v>71</v>
      </c>
      <c r="E513" s="2" t="s">
        <v>801</v>
      </c>
      <c r="F513" s="2" t="s">
        <v>802</v>
      </c>
    </row>
    <row r="514" spans="1:6">
      <c r="A514" s="3" t="s">
        <v>1133</v>
      </c>
      <c r="B514" s="3" t="s">
        <v>93</v>
      </c>
      <c r="C514" s="4" t="s">
        <v>803</v>
      </c>
      <c r="D514" s="2" t="s">
        <v>804</v>
      </c>
      <c r="E514" s="2" t="s">
        <v>805</v>
      </c>
      <c r="F514" s="2" t="s">
        <v>806</v>
      </c>
    </row>
    <row r="515" spans="1:6">
      <c r="A515" s="3" t="s">
        <v>1133</v>
      </c>
      <c r="B515" s="3" t="s">
        <v>93</v>
      </c>
      <c r="C515" s="4" t="s">
        <v>185</v>
      </c>
      <c r="D515" s="2" t="s">
        <v>186</v>
      </c>
      <c r="E515" s="2" t="s">
        <v>187</v>
      </c>
      <c r="F515" s="2" t="s">
        <v>188</v>
      </c>
    </row>
    <row r="516" spans="1:6">
      <c r="A516" s="3" t="s">
        <v>1133</v>
      </c>
      <c r="B516" s="3" t="s">
        <v>93</v>
      </c>
      <c r="C516" s="4" t="s">
        <v>193</v>
      </c>
      <c r="D516" s="2" t="s">
        <v>194</v>
      </c>
      <c r="E516" s="2" t="s">
        <v>195</v>
      </c>
      <c r="F516" s="2" t="s">
        <v>196</v>
      </c>
    </row>
    <row r="517" spans="1:6">
      <c r="A517" s="3" t="s">
        <v>1133</v>
      </c>
      <c r="B517" s="3" t="s">
        <v>93</v>
      </c>
      <c r="C517" s="4" t="s">
        <v>1165</v>
      </c>
      <c r="D517" s="2" t="s">
        <v>1166</v>
      </c>
      <c r="E517" s="2" t="s">
        <v>1167</v>
      </c>
      <c r="F517" s="2" t="s">
        <v>1168</v>
      </c>
    </row>
    <row r="518" spans="1:6">
      <c r="A518" s="3" t="s">
        <v>1133</v>
      </c>
      <c r="B518" s="3" t="s">
        <v>93</v>
      </c>
      <c r="C518" s="4" t="s">
        <v>807</v>
      </c>
      <c r="D518" s="2" t="s">
        <v>808</v>
      </c>
      <c r="E518" s="2" t="s">
        <v>809</v>
      </c>
      <c r="F518" s="2" t="s">
        <v>810</v>
      </c>
    </row>
    <row r="519" spans="1:6">
      <c r="A519" s="3" t="s">
        <v>1133</v>
      </c>
      <c r="B519" s="3" t="s">
        <v>93</v>
      </c>
      <c r="C519" s="4" t="s">
        <v>811</v>
      </c>
      <c r="D519" s="2" t="s">
        <v>812</v>
      </c>
      <c r="E519" s="2" t="s">
        <v>813</v>
      </c>
      <c r="F519" s="2" t="s">
        <v>814</v>
      </c>
    </row>
    <row r="520" spans="1:6">
      <c r="A520" s="3" t="s">
        <v>1133</v>
      </c>
      <c r="B520" s="3" t="s">
        <v>93</v>
      </c>
      <c r="C520" s="4" t="s">
        <v>815</v>
      </c>
      <c r="D520" s="2" t="s">
        <v>816</v>
      </c>
      <c r="E520" s="2" t="s">
        <v>817</v>
      </c>
      <c r="F520" s="2" t="s">
        <v>818</v>
      </c>
    </row>
    <row r="521" spans="1:6">
      <c r="A521" s="3" t="s">
        <v>1133</v>
      </c>
      <c r="B521" s="3" t="s">
        <v>93</v>
      </c>
      <c r="C521" s="4" t="s">
        <v>819</v>
      </c>
      <c r="D521" s="2" t="s">
        <v>820</v>
      </c>
      <c r="E521" s="2" t="s">
        <v>821</v>
      </c>
      <c r="F521" s="2" t="s">
        <v>822</v>
      </c>
    </row>
    <row r="522" spans="1:6">
      <c r="A522" s="3" t="s">
        <v>1133</v>
      </c>
      <c r="B522" s="3" t="s">
        <v>93</v>
      </c>
      <c r="C522" s="4" t="s">
        <v>823</v>
      </c>
      <c r="D522" s="2" t="s">
        <v>824</v>
      </c>
      <c r="E522" s="2" t="s">
        <v>825</v>
      </c>
      <c r="F522" s="2" t="s">
        <v>826</v>
      </c>
    </row>
    <row r="523" spans="1:6">
      <c r="A523" s="3" t="s">
        <v>1133</v>
      </c>
      <c r="B523" s="3" t="s">
        <v>93</v>
      </c>
      <c r="C523" s="4" t="s">
        <v>212</v>
      </c>
      <c r="D523" s="2" t="s">
        <v>213</v>
      </c>
      <c r="E523" s="2" t="s">
        <v>214</v>
      </c>
      <c r="F523" s="2" t="s">
        <v>215</v>
      </c>
    </row>
    <row r="524" spans="1:6">
      <c r="A524" s="3" t="s">
        <v>1133</v>
      </c>
      <c r="B524" s="3" t="s">
        <v>93</v>
      </c>
      <c r="C524" s="4" t="s">
        <v>216</v>
      </c>
      <c r="D524" s="2" t="s">
        <v>217</v>
      </c>
      <c r="E524" s="2" t="s">
        <v>218</v>
      </c>
      <c r="F524" s="2" t="s">
        <v>219</v>
      </c>
    </row>
    <row r="525" spans="1:6">
      <c r="A525" s="3" t="s">
        <v>1133</v>
      </c>
      <c r="B525" s="3" t="s">
        <v>93</v>
      </c>
      <c r="C525" s="4" t="s">
        <v>220</v>
      </c>
      <c r="D525" s="2" t="s">
        <v>221</v>
      </c>
      <c r="E525" s="2" t="s">
        <v>222</v>
      </c>
      <c r="F525" s="2" t="s">
        <v>223</v>
      </c>
    </row>
    <row r="526" spans="1:6">
      <c r="A526" s="3" t="s">
        <v>1133</v>
      </c>
      <c r="B526" s="3" t="s">
        <v>93</v>
      </c>
      <c r="C526" s="4" t="s">
        <v>827</v>
      </c>
      <c r="D526" s="2" t="s">
        <v>828</v>
      </c>
      <c r="E526" s="2" t="s">
        <v>829</v>
      </c>
      <c r="F526" s="2" t="s">
        <v>830</v>
      </c>
    </row>
    <row r="527" spans="1:6">
      <c r="A527" s="3" t="s">
        <v>1133</v>
      </c>
      <c r="B527" s="3" t="s">
        <v>93</v>
      </c>
      <c r="C527" s="4" t="s">
        <v>831</v>
      </c>
      <c r="D527" s="2" t="s">
        <v>832</v>
      </c>
      <c r="E527" s="2" t="s">
        <v>833</v>
      </c>
      <c r="F527" s="2" t="s">
        <v>834</v>
      </c>
    </row>
    <row r="528" spans="1:6">
      <c r="A528" s="3" t="s">
        <v>1133</v>
      </c>
      <c r="B528" s="3" t="s">
        <v>93</v>
      </c>
      <c r="C528" s="4" t="s">
        <v>835</v>
      </c>
      <c r="D528" s="2" t="s">
        <v>836</v>
      </c>
      <c r="E528" s="2" t="s">
        <v>837</v>
      </c>
      <c r="F528" s="2" t="s">
        <v>838</v>
      </c>
    </row>
    <row r="529" spans="1:6">
      <c r="A529" s="3" t="s">
        <v>1133</v>
      </c>
      <c r="B529" s="3" t="s">
        <v>93</v>
      </c>
      <c r="C529" s="4" t="s">
        <v>839</v>
      </c>
      <c r="D529" s="2" t="s">
        <v>840</v>
      </c>
      <c r="E529" s="2" t="s">
        <v>841</v>
      </c>
      <c r="F529" s="2" t="s">
        <v>842</v>
      </c>
    </row>
    <row r="530" spans="1:6">
      <c r="A530" s="3" t="s">
        <v>1133</v>
      </c>
      <c r="B530" s="3" t="s">
        <v>93</v>
      </c>
      <c r="C530" s="4" t="s">
        <v>843</v>
      </c>
      <c r="D530" s="2" t="s">
        <v>844</v>
      </c>
      <c r="E530" s="2" t="s">
        <v>845</v>
      </c>
      <c r="F530" s="2" t="s">
        <v>846</v>
      </c>
    </row>
    <row r="531" spans="1:6">
      <c r="A531" s="3" t="s">
        <v>1133</v>
      </c>
      <c r="B531" s="3" t="s">
        <v>93</v>
      </c>
      <c r="C531" s="4" t="s">
        <v>847</v>
      </c>
      <c r="D531" s="2" t="s">
        <v>848</v>
      </c>
      <c r="E531" s="2" t="s">
        <v>849</v>
      </c>
      <c r="F531" s="2" t="s">
        <v>850</v>
      </c>
    </row>
    <row r="532" spans="1:6">
      <c r="A532" s="3" t="s">
        <v>1133</v>
      </c>
      <c r="B532" s="3" t="s">
        <v>93</v>
      </c>
      <c r="C532" s="4" t="s">
        <v>851</v>
      </c>
      <c r="D532" s="2" t="s">
        <v>852</v>
      </c>
      <c r="E532" s="2" t="s">
        <v>853</v>
      </c>
      <c r="F532" s="2" t="s">
        <v>854</v>
      </c>
    </row>
    <row r="533" spans="1:6">
      <c r="A533" s="3" t="s">
        <v>1133</v>
      </c>
      <c r="B533" s="3" t="s">
        <v>93</v>
      </c>
      <c r="C533" s="4" t="s">
        <v>1169</v>
      </c>
      <c r="D533" s="2" t="s">
        <v>1170</v>
      </c>
      <c r="E533" s="2" t="s">
        <v>1171</v>
      </c>
      <c r="F533" s="2" t="s">
        <v>1172</v>
      </c>
    </row>
    <row r="534" spans="1:6">
      <c r="A534" s="3" t="s">
        <v>1133</v>
      </c>
      <c r="B534" s="3" t="s">
        <v>93</v>
      </c>
      <c r="C534" s="4" t="s">
        <v>855</v>
      </c>
      <c r="D534" s="2" t="s">
        <v>856</v>
      </c>
      <c r="E534" s="2" t="s">
        <v>857</v>
      </c>
      <c r="F534" s="2" t="s">
        <v>856</v>
      </c>
    </row>
    <row r="535" spans="1:6">
      <c r="A535" s="3" t="s">
        <v>1133</v>
      </c>
      <c r="B535" s="3" t="s">
        <v>93</v>
      </c>
      <c r="C535" s="4" t="s">
        <v>858</v>
      </c>
      <c r="D535" s="2" t="s">
        <v>859</v>
      </c>
      <c r="E535" s="2" t="s">
        <v>860</v>
      </c>
      <c r="F535" s="2" t="s">
        <v>861</v>
      </c>
    </row>
    <row r="536" spans="1:6">
      <c r="A536" s="3" t="s">
        <v>1133</v>
      </c>
      <c r="B536" s="3" t="s">
        <v>93</v>
      </c>
      <c r="C536" s="4" t="s">
        <v>942</v>
      </c>
      <c r="D536" s="2" t="s">
        <v>943</v>
      </c>
      <c r="E536" s="2" t="s">
        <v>944</v>
      </c>
      <c r="F536" s="2" t="s">
        <v>945</v>
      </c>
    </row>
    <row r="537" spans="1:6">
      <c r="A537" s="3" t="s">
        <v>1133</v>
      </c>
      <c r="B537" s="3" t="s">
        <v>93</v>
      </c>
      <c r="C537" s="4" t="s">
        <v>946</v>
      </c>
      <c r="D537" s="2" t="s">
        <v>947</v>
      </c>
      <c r="E537" s="2" t="s">
        <v>948</v>
      </c>
      <c r="F537" s="2" t="s">
        <v>949</v>
      </c>
    </row>
    <row r="538" spans="1:6">
      <c r="A538" s="3" t="s">
        <v>1133</v>
      </c>
      <c r="B538" s="3" t="s">
        <v>93</v>
      </c>
      <c r="C538" s="4" t="s">
        <v>950</v>
      </c>
      <c r="D538" s="2" t="s">
        <v>951</v>
      </c>
      <c r="E538" s="2" t="s">
        <v>952</v>
      </c>
      <c r="F538" s="2" t="s">
        <v>953</v>
      </c>
    </row>
    <row r="539" spans="1:6">
      <c r="A539" s="3" t="s">
        <v>1133</v>
      </c>
      <c r="B539" s="3" t="s">
        <v>93</v>
      </c>
      <c r="C539" s="4" t="s">
        <v>954</v>
      </c>
      <c r="D539" s="2" t="s">
        <v>955</v>
      </c>
      <c r="E539" s="2" t="s">
        <v>956</v>
      </c>
      <c r="F539" s="2" t="s">
        <v>957</v>
      </c>
    </row>
    <row r="540" spans="1:6">
      <c r="A540" s="3" t="s">
        <v>1133</v>
      </c>
      <c r="B540" s="3" t="s">
        <v>93</v>
      </c>
      <c r="C540" s="4" t="s">
        <v>958</v>
      </c>
      <c r="D540" s="2" t="s">
        <v>959</v>
      </c>
      <c r="E540" s="2" t="s">
        <v>960</v>
      </c>
      <c r="F540" s="2" t="s">
        <v>961</v>
      </c>
    </row>
    <row r="541" spans="1:6">
      <c r="A541" s="3" t="s">
        <v>1133</v>
      </c>
      <c r="B541" s="3" t="s">
        <v>93</v>
      </c>
      <c r="C541" s="4" t="s">
        <v>962</v>
      </c>
      <c r="D541" s="2" t="s">
        <v>963</v>
      </c>
      <c r="E541" s="2" t="s">
        <v>964</v>
      </c>
      <c r="F541" s="2" t="s">
        <v>965</v>
      </c>
    </row>
    <row r="542" spans="1:6">
      <c r="A542" s="3" t="s">
        <v>1133</v>
      </c>
      <c r="B542" s="3" t="s">
        <v>93</v>
      </c>
      <c r="C542" s="4" t="s">
        <v>1173</v>
      </c>
      <c r="D542" s="2" t="s">
        <v>1174</v>
      </c>
      <c r="E542" s="2" t="s">
        <v>1175</v>
      </c>
      <c r="F542" s="2" t="s">
        <v>1176</v>
      </c>
    </row>
    <row r="543" spans="1:6">
      <c r="A543" s="3" t="s">
        <v>1133</v>
      </c>
      <c r="B543" s="3" t="s">
        <v>93</v>
      </c>
      <c r="C543" s="4" t="s">
        <v>1177</v>
      </c>
      <c r="D543" s="2" t="s">
        <v>1178</v>
      </c>
      <c r="E543" s="2" t="s">
        <v>1179</v>
      </c>
      <c r="F543" s="2" t="s">
        <v>1180</v>
      </c>
    </row>
    <row r="544" spans="1:6">
      <c r="A544" s="3" t="s">
        <v>1133</v>
      </c>
      <c r="B544" s="3" t="s">
        <v>93</v>
      </c>
      <c r="C544" s="4" t="s">
        <v>1181</v>
      </c>
      <c r="D544" s="2" t="s">
        <v>1182</v>
      </c>
      <c r="E544" s="2" t="s">
        <v>1183</v>
      </c>
      <c r="F544" s="2" t="s">
        <v>1184</v>
      </c>
    </row>
    <row r="545" spans="1:6">
      <c r="A545" s="3" t="s">
        <v>1133</v>
      </c>
      <c r="B545" s="3" t="s">
        <v>93</v>
      </c>
      <c r="C545" s="4" t="s">
        <v>1185</v>
      </c>
      <c r="D545" s="2" t="s">
        <v>1186</v>
      </c>
      <c r="E545" s="2" t="s">
        <v>1187</v>
      </c>
      <c r="F545" s="2" t="s">
        <v>1188</v>
      </c>
    </row>
    <row r="546" spans="1:6">
      <c r="A546" s="3" t="s">
        <v>1133</v>
      </c>
      <c r="B546" s="3" t="s">
        <v>93</v>
      </c>
      <c r="C546" s="4" t="s">
        <v>966</v>
      </c>
      <c r="D546" s="2" t="s">
        <v>967</v>
      </c>
      <c r="E546" s="2" t="s">
        <v>968</v>
      </c>
      <c r="F546" s="2" t="s">
        <v>969</v>
      </c>
    </row>
    <row r="547" spans="1:6">
      <c r="A547" s="3" t="s">
        <v>1133</v>
      </c>
      <c r="B547" s="3" t="s">
        <v>93</v>
      </c>
      <c r="C547" s="4" t="s">
        <v>1081</v>
      </c>
      <c r="D547" s="2" t="s">
        <v>1082</v>
      </c>
      <c r="E547" s="2" t="s">
        <v>1083</v>
      </c>
      <c r="F547" s="2" t="s">
        <v>1084</v>
      </c>
    </row>
    <row r="548" spans="1:6">
      <c r="A548" s="3" t="s">
        <v>1133</v>
      </c>
      <c r="B548" s="3" t="s">
        <v>93</v>
      </c>
      <c r="C548" s="4" t="s">
        <v>1189</v>
      </c>
      <c r="D548" s="2" t="s">
        <v>1190</v>
      </c>
      <c r="E548" s="2" t="s">
        <v>1191</v>
      </c>
      <c r="F548" s="2" t="s">
        <v>1192</v>
      </c>
    </row>
    <row r="549" spans="1:6">
      <c r="A549" s="3" t="s">
        <v>1133</v>
      </c>
      <c r="B549" s="3" t="s">
        <v>93</v>
      </c>
      <c r="C549" s="4" t="s">
        <v>970</v>
      </c>
      <c r="D549" s="2" t="s">
        <v>971</v>
      </c>
      <c r="E549" s="2" t="s">
        <v>972</v>
      </c>
      <c r="F549" s="2" t="s">
        <v>973</v>
      </c>
    </row>
    <row r="550" spans="1:6">
      <c r="A550" s="3" t="s">
        <v>1133</v>
      </c>
      <c r="B550" s="3" t="s">
        <v>93</v>
      </c>
      <c r="C550" s="4" t="s">
        <v>696</v>
      </c>
      <c r="D550" s="2" t="s">
        <v>697</v>
      </c>
      <c r="E550" s="2" t="s">
        <v>698</v>
      </c>
      <c r="F550" s="2" t="s">
        <v>699</v>
      </c>
    </row>
    <row r="551" spans="1:6">
      <c r="A551" s="3" t="s">
        <v>1133</v>
      </c>
      <c r="B551" s="3" t="s">
        <v>93</v>
      </c>
      <c r="C551" s="4" t="s">
        <v>700</v>
      </c>
      <c r="D551" s="2" t="s">
        <v>701</v>
      </c>
      <c r="E551" s="2" t="s">
        <v>702</v>
      </c>
      <c r="F551" s="2" t="s">
        <v>703</v>
      </c>
    </row>
    <row r="552" spans="1:6">
      <c r="A552" s="3" t="s">
        <v>1133</v>
      </c>
      <c r="B552" s="3" t="s">
        <v>93</v>
      </c>
      <c r="C552" s="4" t="s">
        <v>358</v>
      </c>
      <c r="D552" s="2" t="s">
        <v>359</v>
      </c>
      <c r="E552" s="2" t="s">
        <v>360</v>
      </c>
      <c r="F552" s="2" t="s">
        <v>361</v>
      </c>
    </row>
    <row r="553" spans="1:6">
      <c r="A553" s="3" t="s">
        <v>1133</v>
      </c>
      <c r="B553" s="3" t="s">
        <v>93</v>
      </c>
      <c r="C553" s="4" t="s">
        <v>1193</v>
      </c>
      <c r="D553" s="2" t="s">
        <v>1194</v>
      </c>
      <c r="E553" s="2" t="s">
        <v>1195</v>
      </c>
      <c r="F553" s="2" t="s">
        <v>1194</v>
      </c>
    </row>
    <row r="554" spans="1:6">
      <c r="A554" s="3" t="s">
        <v>1133</v>
      </c>
      <c r="B554" s="3" t="s">
        <v>93</v>
      </c>
      <c r="C554" s="4" t="s">
        <v>1085</v>
      </c>
      <c r="D554" s="2" t="s">
        <v>1086</v>
      </c>
      <c r="E554" s="2" t="s">
        <v>1087</v>
      </c>
      <c r="F554" s="2" t="s">
        <v>1088</v>
      </c>
    </row>
    <row r="555" spans="1:6">
      <c r="A555" s="3" t="s">
        <v>1133</v>
      </c>
      <c r="B555" s="3" t="s">
        <v>93</v>
      </c>
      <c r="C555" s="4" t="s">
        <v>1089</v>
      </c>
      <c r="D555" s="2" t="s">
        <v>1090</v>
      </c>
      <c r="E555" s="2" t="s">
        <v>1091</v>
      </c>
      <c r="F555" s="2" t="s">
        <v>1092</v>
      </c>
    </row>
    <row r="556" spans="1:6">
      <c r="A556" s="3" t="s">
        <v>1133</v>
      </c>
      <c r="B556" s="3" t="s">
        <v>93</v>
      </c>
      <c r="C556" s="4" t="s">
        <v>1196</v>
      </c>
      <c r="D556" s="2" t="s">
        <v>1197</v>
      </c>
      <c r="E556" s="2" t="s">
        <v>1198</v>
      </c>
      <c r="F556" s="2" t="s">
        <v>1199</v>
      </c>
    </row>
    <row r="557" spans="1:6">
      <c r="A557" s="3" t="s">
        <v>1133</v>
      </c>
      <c r="B557" s="3" t="s">
        <v>93</v>
      </c>
      <c r="C557" s="4" t="s">
        <v>1200</v>
      </c>
      <c r="D557" s="2" t="s">
        <v>1201</v>
      </c>
      <c r="E557" s="2" t="s">
        <v>1202</v>
      </c>
      <c r="F557" s="2" t="s">
        <v>1203</v>
      </c>
    </row>
    <row r="558" spans="1:6">
      <c r="A558" s="3" t="s">
        <v>1133</v>
      </c>
      <c r="B558" s="3" t="s">
        <v>93</v>
      </c>
      <c r="C558" s="4" t="s">
        <v>1204</v>
      </c>
      <c r="D558" s="2" t="s">
        <v>1205</v>
      </c>
      <c r="E558" s="2" t="s">
        <v>1206</v>
      </c>
      <c r="F558" s="2" t="s">
        <v>1207</v>
      </c>
    </row>
    <row r="559" spans="1:6">
      <c r="A559" s="3" t="s">
        <v>1133</v>
      </c>
      <c r="B559" s="3" t="s">
        <v>93</v>
      </c>
      <c r="C559" s="4" t="s">
        <v>1208</v>
      </c>
      <c r="D559" s="2" t="s">
        <v>1209</v>
      </c>
      <c r="E559" s="2" t="s">
        <v>1210</v>
      </c>
      <c r="F559" s="2" t="s">
        <v>1211</v>
      </c>
    </row>
    <row r="560" spans="1:6">
      <c r="A560" s="3" t="s">
        <v>1133</v>
      </c>
      <c r="B560" s="3" t="s">
        <v>93</v>
      </c>
      <c r="C560" s="4" t="s">
        <v>1212</v>
      </c>
      <c r="D560" s="2" t="s">
        <v>1213</v>
      </c>
      <c r="E560" s="2" t="s">
        <v>1214</v>
      </c>
      <c r="F560" s="2" t="s">
        <v>1215</v>
      </c>
    </row>
    <row r="561" spans="1:6">
      <c r="A561" s="3" t="s">
        <v>1133</v>
      </c>
      <c r="B561" s="3" t="s">
        <v>93</v>
      </c>
      <c r="C561" s="4" t="s">
        <v>974</v>
      </c>
      <c r="D561" s="2" t="s">
        <v>975</v>
      </c>
      <c r="E561" s="2" t="s">
        <v>976</v>
      </c>
      <c r="F561" s="2" t="s">
        <v>977</v>
      </c>
    </row>
    <row r="562" spans="1:6">
      <c r="A562" s="3" t="s">
        <v>1133</v>
      </c>
      <c r="B562" s="3" t="s">
        <v>93</v>
      </c>
      <c r="C562" s="4" t="s">
        <v>978</v>
      </c>
      <c r="D562" s="2" t="s">
        <v>979</v>
      </c>
      <c r="E562" s="2" t="s">
        <v>980</v>
      </c>
      <c r="F562" s="2" t="s">
        <v>979</v>
      </c>
    </row>
    <row r="563" spans="1:6">
      <c r="A563" s="3" t="s">
        <v>1133</v>
      </c>
      <c r="B563" s="3" t="s">
        <v>93</v>
      </c>
      <c r="C563" s="4" t="s">
        <v>981</v>
      </c>
      <c r="D563" s="2" t="s">
        <v>982</v>
      </c>
      <c r="E563" s="2" t="s">
        <v>983</v>
      </c>
      <c r="F563" s="2" t="s">
        <v>982</v>
      </c>
    </row>
    <row r="564" spans="1:6">
      <c r="A564" s="3" t="s">
        <v>1133</v>
      </c>
      <c r="B564" s="3" t="s">
        <v>93</v>
      </c>
      <c r="C564" s="4" t="s">
        <v>1216</v>
      </c>
      <c r="D564" s="2" t="s">
        <v>1217</v>
      </c>
      <c r="E564" s="2" t="s">
        <v>1218</v>
      </c>
      <c r="F564" s="2" t="s">
        <v>1219</v>
      </c>
    </row>
    <row r="565" spans="1:6">
      <c r="A565" s="3" t="s">
        <v>1133</v>
      </c>
      <c r="B565" s="3" t="s">
        <v>93</v>
      </c>
      <c r="C565" s="4" t="s">
        <v>1220</v>
      </c>
      <c r="D565" s="2" t="s">
        <v>1221</v>
      </c>
      <c r="E565" s="2" t="s">
        <v>1222</v>
      </c>
      <c r="F565" s="2" t="s">
        <v>1223</v>
      </c>
    </row>
    <row r="566" spans="1:6">
      <c r="A566" s="3" t="s">
        <v>1133</v>
      </c>
      <c r="B566" s="3" t="s">
        <v>93</v>
      </c>
      <c r="C566" s="4" t="s">
        <v>1224</v>
      </c>
      <c r="D566" s="2" t="s">
        <v>1225</v>
      </c>
      <c r="E566" s="2" t="s">
        <v>1226</v>
      </c>
      <c r="F566" s="2" t="s">
        <v>1227</v>
      </c>
    </row>
    <row r="567" spans="1:6">
      <c r="A567" s="3" t="s">
        <v>1133</v>
      </c>
      <c r="B567" s="3" t="s">
        <v>93</v>
      </c>
      <c r="C567" s="4" t="s">
        <v>1228</v>
      </c>
      <c r="D567" s="2" t="s">
        <v>1229</v>
      </c>
      <c r="E567" s="2" t="s">
        <v>1230</v>
      </c>
      <c r="F567" s="2" t="s">
        <v>1231</v>
      </c>
    </row>
    <row r="568" spans="1:6">
      <c r="A568" s="3" t="s">
        <v>1133</v>
      </c>
      <c r="B568" s="3" t="s">
        <v>93</v>
      </c>
      <c r="C568" s="4" t="s">
        <v>1232</v>
      </c>
      <c r="D568" s="2" t="s">
        <v>1233</v>
      </c>
      <c r="E568" s="2" t="s">
        <v>1234</v>
      </c>
      <c r="F568" s="2" t="s">
        <v>1235</v>
      </c>
    </row>
    <row r="569" spans="1:6">
      <c r="A569" s="3" t="s">
        <v>1133</v>
      </c>
      <c r="B569" s="3" t="s">
        <v>93</v>
      </c>
      <c r="C569" s="4" t="s">
        <v>1236</v>
      </c>
      <c r="D569" s="2" t="s">
        <v>1237</v>
      </c>
      <c r="E569" s="2" t="s">
        <v>1238</v>
      </c>
      <c r="F569" s="2" t="s">
        <v>1239</v>
      </c>
    </row>
    <row r="570" spans="1:6">
      <c r="A570" s="3" t="s">
        <v>1133</v>
      </c>
      <c r="B570" s="3" t="s">
        <v>93</v>
      </c>
      <c r="C570" s="4" t="s">
        <v>1240</v>
      </c>
      <c r="D570" s="2" t="s">
        <v>1241</v>
      </c>
      <c r="E570" s="2" t="s">
        <v>1242</v>
      </c>
      <c r="F570" s="2" t="s">
        <v>1243</v>
      </c>
    </row>
    <row r="571" spans="1:6">
      <c r="A571" s="3" t="s">
        <v>1133</v>
      </c>
      <c r="B571" s="3" t="s">
        <v>93</v>
      </c>
      <c r="C571" s="4" t="s">
        <v>1244</v>
      </c>
      <c r="D571" s="2" t="s">
        <v>1245</v>
      </c>
      <c r="E571" s="2" t="s">
        <v>1246</v>
      </c>
      <c r="F571" s="2" t="s">
        <v>1247</v>
      </c>
    </row>
    <row r="572" spans="1:6">
      <c r="A572" s="3" t="s">
        <v>1133</v>
      </c>
      <c r="B572" s="3" t="s">
        <v>93</v>
      </c>
      <c r="C572" s="4" t="s">
        <v>1248</v>
      </c>
      <c r="D572" s="2" t="s">
        <v>1249</v>
      </c>
      <c r="E572" s="2" t="s">
        <v>1250</v>
      </c>
      <c r="F572" s="2" t="s">
        <v>1251</v>
      </c>
    </row>
    <row r="573" spans="1:6">
      <c r="A573" s="3" t="s">
        <v>1133</v>
      </c>
      <c r="B573" s="3" t="s">
        <v>93</v>
      </c>
      <c r="C573" s="4" t="s">
        <v>1252</v>
      </c>
      <c r="D573" s="2" t="s">
        <v>1253</v>
      </c>
      <c r="E573" s="2" t="s">
        <v>1254</v>
      </c>
      <c r="F573" s="2" t="s">
        <v>1255</v>
      </c>
    </row>
    <row r="574" spans="1:6">
      <c r="A574" s="3" t="s">
        <v>1133</v>
      </c>
      <c r="B574" s="3" t="s">
        <v>93</v>
      </c>
      <c r="C574" s="4" t="s">
        <v>1256</v>
      </c>
      <c r="D574" s="2" t="s">
        <v>1257</v>
      </c>
      <c r="E574" s="2" t="s">
        <v>1258</v>
      </c>
      <c r="F574" s="2" t="s">
        <v>1259</v>
      </c>
    </row>
    <row r="575" spans="1:6">
      <c r="A575" s="3" t="s">
        <v>1133</v>
      </c>
      <c r="B575" s="3" t="s">
        <v>93</v>
      </c>
      <c r="C575" s="4" t="s">
        <v>1260</v>
      </c>
      <c r="D575" s="2" t="s">
        <v>1261</v>
      </c>
      <c r="E575" s="2" t="s">
        <v>1262</v>
      </c>
      <c r="F575" s="2" t="s">
        <v>1263</v>
      </c>
    </row>
    <row r="576" spans="1:6">
      <c r="A576" s="3" t="s">
        <v>1133</v>
      </c>
      <c r="B576" s="3" t="s">
        <v>93</v>
      </c>
      <c r="C576" s="4" t="s">
        <v>1264</v>
      </c>
      <c r="D576" s="2" t="s">
        <v>1265</v>
      </c>
      <c r="E576" s="2" t="s">
        <v>1266</v>
      </c>
      <c r="F576" s="2" t="s">
        <v>1267</v>
      </c>
    </row>
    <row r="577" spans="1:6">
      <c r="A577" s="3" t="s">
        <v>1133</v>
      </c>
      <c r="B577" s="3" t="s">
        <v>93</v>
      </c>
      <c r="C577" s="4" t="s">
        <v>1268</v>
      </c>
      <c r="D577" s="2" t="s">
        <v>1269</v>
      </c>
      <c r="E577" s="2" t="s">
        <v>1270</v>
      </c>
      <c r="F577" s="2" t="s">
        <v>1271</v>
      </c>
    </row>
    <row r="578" spans="1:6">
      <c r="A578" s="3" t="s">
        <v>1133</v>
      </c>
      <c r="B578" s="3" t="s">
        <v>93</v>
      </c>
      <c r="C578" s="4" t="s">
        <v>1272</v>
      </c>
      <c r="D578" s="2" t="s">
        <v>1273</v>
      </c>
      <c r="E578" s="2" t="s">
        <v>1274</v>
      </c>
      <c r="F578" s="2" t="s">
        <v>1275</v>
      </c>
    </row>
    <row r="579" spans="1:6">
      <c r="A579" s="3" t="s">
        <v>1133</v>
      </c>
      <c r="B579" s="3" t="s">
        <v>93</v>
      </c>
      <c r="C579" s="4" t="s">
        <v>1276</v>
      </c>
      <c r="D579" s="2" t="s">
        <v>1277</v>
      </c>
      <c r="E579" s="2" t="s">
        <v>1278</v>
      </c>
      <c r="F579" s="2" t="s">
        <v>1275</v>
      </c>
    </row>
    <row r="580" spans="1:6">
      <c r="A580" s="3" t="s">
        <v>1133</v>
      </c>
      <c r="B580" s="3" t="s">
        <v>93</v>
      </c>
      <c r="C580" s="4" t="s">
        <v>1279</v>
      </c>
      <c r="D580" s="2" t="s">
        <v>1280</v>
      </c>
      <c r="E580" s="2" t="s">
        <v>1281</v>
      </c>
      <c r="F580" s="2" t="s">
        <v>1275</v>
      </c>
    </row>
    <row r="581" spans="1:6">
      <c r="A581" s="3" t="s">
        <v>1133</v>
      </c>
      <c r="B581" s="3" t="s">
        <v>93</v>
      </c>
      <c r="C581" s="4" t="s">
        <v>1282</v>
      </c>
      <c r="D581" s="2" t="s">
        <v>1283</v>
      </c>
      <c r="E581" s="2" t="s">
        <v>1284</v>
      </c>
      <c r="F581" s="2" t="s">
        <v>1285</v>
      </c>
    </row>
    <row r="582" spans="1:6">
      <c r="A582" s="3" t="s">
        <v>1133</v>
      </c>
      <c r="B582" s="3" t="s">
        <v>93</v>
      </c>
      <c r="C582" s="4" t="s">
        <v>1286</v>
      </c>
      <c r="D582" s="2" t="s">
        <v>1287</v>
      </c>
      <c r="E582" s="2" t="s">
        <v>1288</v>
      </c>
      <c r="F582" s="2" t="s">
        <v>1285</v>
      </c>
    </row>
    <row r="583" spans="1:6">
      <c r="A583" s="3" t="s">
        <v>1133</v>
      </c>
      <c r="B583" s="3" t="s">
        <v>93</v>
      </c>
      <c r="C583" s="4" t="s">
        <v>1289</v>
      </c>
      <c r="D583" s="2" t="s">
        <v>1290</v>
      </c>
      <c r="E583" s="2" t="s">
        <v>1291</v>
      </c>
      <c r="F583" s="2" t="s">
        <v>1285</v>
      </c>
    </row>
    <row r="584" spans="1:6">
      <c r="A584" s="3" t="s">
        <v>1133</v>
      </c>
      <c r="B584" s="3" t="s">
        <v>93</v>
      </c>
      <c r="C584" s="4" t="s">
        <v>1292</v>
      </c>
      <c r="D584" s="2" t="s">
        <v>1293</v>
      </c>
      <c r="E584" s="2" t="s">
        <v>1294</v>
      </c>
      <c r="F584" s="2" t="s">
        <v>1295</v>
      </c>
    </row>
    <row r="585" spans="1:6">
      <c r="A585" s="3" t="s">
        <v>1133</v>
      </c>
      <c r="B585" s="3" t="s">
        <v>93</v>
      </c>
      <c r="C585" s="4" t="s">
        <v>1296</v>
      </c>
      <c r="D585" s="2" t="s">
        <v>1297</v>
      </c>
      <c r="E585" s="2" t="s">
        <v>1298</v>
      </c>
      <c r="F585" s="2" t="s">
        <v>1299</v>
      </c>
    </row>
    <row r="586" spans="1:6">
      <c r="A586" s="3" t="s">
        <v>1133</v>
      </c>
      <c r="B586" s="3" t="s">
        <v>93</v>
      </c>
      <c r="C586" s="4" t="s">
        <v>1300</v>
      </c>
      <c r="D586" s="2" t="s">
        <v>1301</v>
      </c>
      <c r="E586" s="2" t="s">
        <v>1302</v>
      </c>
      <c r="F586" s="2" t="s">
        <v>1303</v>
      </c>
    </row>
    <row r="587" spans="1:6">
      <c r="A587" s="3" t="s">
        <v>1133</v>
      </c>
      <c r="B587" s="3" t="s">
        <v>93</v>
      </c>
      <c r="C587" s="4" t="s">
        <v>1304</v>
      </c>
      <c r="D587" s="2" t="s">
        <v>1305</v>
      </c>
      <c r="E587" s="2" t="s">
        <v>1306</v>
      </c>
      <c r="F587" s="2" t="s">
        <v>1307</v>
      </c>
    </row>
    <row r="588" spans="1:6">
      <c r="A588" s="3" t="s">
        <v>1133</v>
      </c>
      <c r="B588" s="3" t="s">
        <v>93</v>
      </c>
      <c r="C588" s="4" t="s">
        <v>1308</v>
      </c>
      <c r="D588" s="2" t="s">
        <v>1309</v>
      </c>
      <c r="E588" s="2" t="s">
        <v>1310</v>
      </c>
      <c r="F588" s="2" t="s">
        <v>1311</v>
      </c>
    </row>
    <row r="589" spans="1:6">
      <c r="A589" s="3" t="s">
        <v>1133</v>
      </c>
      <c r="B589" s="3" t="s">
        <v>93</v>
      </c>
      <c r="C589" s="4" t="s">
        <v>1312</v>
      </c>
      <c r="D589" s="2" t="s">
        <v>1313</v>
      </c>
      <c r="E589" s="2" t="s">
        <v>1314</v>
      </c>
      <c r="F589" s="2" t="s">
        <v>1315</v>
      </c>
    </row>
    <row r="590" spans="1:6">
      <c r="A590" s="3" t="s">
        <v>1133</v>
      </c>
      <c r="B590" s="3" t="s">
        <v>93</v>
      </c>
      <c r="C590" s="4" t="s">
        <v>1316</v>
      </c>
      <c r="D590" s="2" t="s">
        <v>1317</v>
      </c>
      <c r="E590" s="2" t="s">
        <v>1318</v>
      </c>
      <c r="F590" s="2" t="s">
        <v>1317</v>
      </c>
    </row>
    <row r="591" spans="1:6">
      <c r="A591" s="3" t="s">
        <v>1133</v>
      </c>
      <c r="B591" s="3" t="s">
        <v>93</v>
      </c>
      <c r="C591" s="4" t="s">
        <v>1319</v>
      </c>
      <c r="D591" s="2" t="s">
        <v>1320</v>
      </c>
      <c r="E591" s="2" t="s">
        <v>1321</v>
      </c>
      <c r="F591" s="2" t="s">
        <v>1320</v>
      </c>
    </row>
    <row r="592" spans="1:6">
      <c r="A592" s="3" t="s">
        <v>1133</v>
      </c>
      <c r="B592" s="3" t="s">
        <v>93</v>
      </c>
      <c r="C592" s="4" t="s">
        <v>1322</v>
      </c>
      <c r="D592" s="2" t="s">
        <v>1323</v>
      </c>
      <c r="E592" s="2" t="s">
        <v>1324</v>
      </c>
      <c r="F592" s="2" t="s">
        <v>1323</v>
      </c>
    </row>
    <row r="593" spans="1:6">
      <c r="A593" s="3" t="s">
        <v>1133</v>
      </c>
      <c r="B593" s="3" t="s">
        <v>93</v>
      </c>
      <c r="C593" s="4" t="s">
        <v>1325</v>
      </c>
      <c r="D593" s="2" t="s">
        <v>1326</v>
      </c>
      <c r="E593" s="2" t="s">
        <v>1327</v>
      </c>
      <c r="F593" s="2" t="s">
        <v>1326</v>
      </c>
    </row>
    <row r="594" spans="1:6">
      <c r="A594" s="3" t="s">
        <v>1133</v>
      </c>
      <c r="B594" s="3" t="s">
        <v>93</v>
      </c>
      <c r="C594" s="4" t="s">
        <v>1328</v>
      </c>
      <c r="D594" s="2" t="s">
        <v>1329</v>
      </c>
      <c r="E594" s="2" t="s">
        <v>1330</v>
      </c>
      <c r="F594" s="2" t="s">
        <v>1331</v>
      </c>
    </row>
    <row r="595" spans="1:6">
      <c r="A595" s="3" t="s">
        <v>1133</v>
      </c>
      <c r="B595" s="3" t="s">
        <v>93</v>
      </c>
      <c r="C595" s="4" t="s">
        <v>1332</v>
      </c>
      <c r="D595" s="2" t="s">
        <v>1333</v>
      </c>
      <c r="E595" s="2" t="s">
        <v>1334</v>
      </c>
      <c r="F595" s="2" t="s">
        <v>1335</v>
      </c>
    </row>
    <row r="596" spans="1:6">
      <c r="A596" s="3" t="s">
        <v>1133</v>
      </c>
      <c r="B596" s="3" t="s">
        <v>93</v>
      </c>
      <c r="C596" s="4" t="s">
        <v>1336</v>
      </c>
      <c r="D596" s="2" t="s">
        <v>1337</v>
      </c>
      <c r="E596" s="2" t="s">
        <v>1338</v>
      </c>
      <c r="F596" s="2" t="s">
        <v>1339</v>
      </c>
    </row>
    <row r="597" spans="1:6">
      <c r="A597" s="3" t="s">
        <v>1133</v>
      </c>
      <c r="B597" s="3" t="s">
        <v>93</v>
      </c>
      <c r="C597" s="4" t="s">
        <v>1340</v>
      </c>
      <c r="D597" s="2" t="s">
        <v>1341</v>
      </c>
      <c r="E597" s="2" t="s">
        <v>1342</v>
      </c>
      <c r="F597" s="2" t="s">
        <v>1343</v>
      </c>
    </row>
    <row r="598" spans="1:6">
      <c r="A598" s="3" t="s">
        <v>1133</v>
      </c>
      <c r="B598" s="3" t="s">
        <v>93</v>
      </c>
      <c r="C598" s="4" t="s">
        <v>1344</v>
      </c>
      <c r="D598" s="2" t="s">
        <v>1345</v>
      </c>
      <c r="E598" s="2" t="s">
        <v>1346</v>
      </c>
      <c r="F598" s="2" t="s">
        <v>1347</v>
      </c>
    </row>
    <row r="599" spans="1:6">
      <c r="A599" s="3" t="s">
        <v>1133</v>
      </c>
      <c r="B599" s="3" t="s">
        <v>93</v>
      </c>
      <c r="C599" s="4" t="s">
        <v>1348</v>
      </c>
      <c r="D599" s="2" t="s">
        <v>1349</v>
      </c>
      <c r="E599" s="2" t="s">
        <v>1350</v>
      </c>
      <c r="F599" s="2" t="s">
        <v>1351</v>
      </c>
    </row>
    <row r="600" spans="1:6">
      <c r="A600" s="3" t="s">
        <v>1133</v>
      </c>
      <c r="B600" s="3" t="s">
        <v>93</v>
      </c>
      <c r="C600" s="4" t="s">
        <v>1352</v>
      </c>
      <c r="D600" s="2" t="s">
        <v>1353</v>
      </c>
      <c r="E600" s="2" t="s">
        <v>1354</v>
      </c>
      <c r="F600" s="2" t="s">
        <v>1355</v>
      </c>
    </row>
    <row r="601" spans="1:6">
      <c r="A601" s="3" t="s">
        <v>1133</v>
      </c>
      <c r="B601" s="3" t="s">
        <v>93</v>
      </c>
      <c r="C601" s="4" t="s">
        <v>1356</v>
      </c>
      <c r="D601" s="2" t="s">
        <v>1357</v>
      </c>
      <c r="E601" s="2" t="s">
        <v>1358</v>
      </c>
      <c r="F601" s="2" t="s">
        <v>1359</v>
      </c>
    </row>
    <row r="602" spans="1:6">
      <c r="A602" s="3" t="s">
        <v>1133</v>
      </c>
      <c r="B602" s="3" t="s">
        <v>93</v>
      </c>
      <c r="C602" s="4" t="s">
        <v>1360</v>
      </c>
      <c r="D602" s="2" t="s">
        <v>1361</v>
      </c>
      <c r="E602" s="2" t="s">
        <v>1362</v>
      </c>
      <c r="F602" s="2" t="s">
        <v>1363</v>
      </c>
    </row>
    <row r="603" spans="1:6">
      <c r="A603" s="3" t="s">
        <v>1133</v>
      </c>
      <c r="B603" s="3" t="s">
        <v>93</v>
      </c>
      <c r="C603" s="4" t="s">
        <v>1364</v>
      </c>
      <c r="D603" s="2" t="s">
        <v>1365</v>
      </c>
      <c r="E603" s="2" t="s">
        <v>1366</v>
      </c>
      <c r="F603" s="2" t="s">
        <v>1367</v>
      </c>
    </row>
    <row r="604" spans="1:6">
      <c r="A604" s="3" t="s">
        <v>1133</v>
      </c>
      <c r="B604" s="3" t="s">
        <v>93</v>
      </c>
      <c r="C604" s="4" t="s">
        <v>1368</v>
      </c>
      <c r="D604" s="2" t="s">
        <v>1369</v>
      </c>
      <c r="E604" s="2" t="s">
        <v>1370</v>
      </c>
      <c r="F604" s="2" t="s">
        <v>1371</v>
      </c>
    </row>
    <row r="605" spans="1:6">
      <c r="A605" s="3" t="s">
        <v>1133</v>
      </c>
      <c r="B605" s="3" t="s">
        <v>93</v>
      </c>
      <c r="C605" s="4" t="s">
        <v>1372</v>
      </c>
      <c r="D605" s="2" t="s">
        <v>1373</v>
      </c>
      <c r="E605" s="2" t="s">
        <v>1374</v>
      </c>
      <c r="F605" s="2" t="s">
        <v>1375</v>
      </c>
    </row>
    <row r="606" spans="1:6">
      <c r="A606" s="3" t="s">
        <v>1133</v>
      </c>
      <c r="B606" s="3" t="s">
        <v>93</v>
      </c>
      <c r="C606" s="4" t="s">
        <v>1376</v>
      </c>
      <c r="D606" s="2" t="s">
        <v>1377</v>
      </c>
      <c r="E606" s="2" t="s">
        <v>1378</v>
      </c>
      <c r="F606" s="2" t="s">
        <v>1379</v>
      </c>
    </row>
    <row r="607" spans="1:6">
      <c r="A607" s="3" t="s">
        <v>1133</v>
      </c>
      <c r="B607" s="3" t="s">
        <v>93</v>
      </c>
      <c r="C607" s="4" t="s">
        <v>1380</v>
      </c>
      <c r="D607" s="2" t="s">
        <v>1381</v>
      </c>
      <c r="E607" s="2" t="s">
        <v>1382</v>
      </c>
      <c r="F607" s="2" t="s">
        <v>1383</v>
      </c>
    </row>
    <row r="608" spans="1:6">
      <c r="A608" s="3" t="s">
        <v>1133</v>
      </c>
      <c r="B608" s="3" t="s">
        <v>93</v>
      </c>
      <c r="C608" s="4" t="s">
        <v>1384</v>
      </c>
      <c r="D608" s="2" t="s">
        <v>1385</v>
      </c>
      <c r="E608" s="2" t="s">
        <v>1386</v>
      </c>
      <c r="F608" s="2" t="s">
        <v>1385</v>
      </c>
    </row>
    <row r="609" spans="1:6">
      <c r="A609" s="3" t="s">
        <v>1133</v>
      </c>
      <c r="B609" s="3" t="s">
        <v>93</v>
      </c>
      <c r="C609" s="4" t="s">
        <v>1387</v>
      </c>
      <c r="D609" s="2" t="s">
        <v>1388</v>
      </c>
      <c r="E609" s="2" t="s">
        <v>1389</v>
      </c>
      <c r="F609" s="2" t="s">
        <v>1390</v>
      </c>
    </row>
    <row r="610" spans="1:6">
      <c r="A610" s="3" t="s">
        <v>1133</v>
      </c>
      <c r="B610" s="3" t="s">
        <v>93</v>
      </c>
      <c r="C610" s="4" t="s">
        <v>1391</v>
      </c>
      <c r="D610" s="2" t="s">
        <v>1392</v>
      </c>
      <c r="E610" s="2" t="s">
        <v>1393</v>
      </c>
      <c r="F610" s="2" t="s">
        <v>1394</v>
      </c>
    </row>
    <row r="611" spans="1:6">
      <c r="A611" s="3" t="s">
        <v>1133</v>
      </c>
      <c r="B611" s="3" t="s">
        <v>93</v>
      </c>
      <c r="C611" s="4" t="s">
        <v>1395</v>
      </c>
      <c r="D611" s="2" t="s">
        <v>1396</v>
      </c>
      <c r="E611" s="2" t="s">
        <v>1397</v>
      </c>
      <c r="F611" s="2" t="s">
        <v>1398</v>
      </c>
    </row>
    <row r="612" spans="1:6">
      <c r="A612" s="3" t="s">
        <v>1133</v>
      </c>
      <c r="B612" s="3" t="s">
        <v>93</v>
      </c>
      <c r="C612" s="4" t="s">
        <v>1399</v>
      </c>
      <c r="D612" s="2" t="s">
        <v>1400</v>
      </c>
      <c r="E612" s="2" t="s">
        <v>1401</v>
      </c>
      <c r="F612" s="2" t="s">
        <v>1402</v>
      </c>
    </row>
    <row r="613" spans="1:6">
      <c r="A613" s="3" t="s">
        <v>1133</v>
      </c>
      <c r="B613" s="3" t="s">
        <v>93</v>
      </c>
      <c r="C613" s="4" t="s">
        <v>1403</v>
      </c>
      <c r="D613" s="2" t="s">
        <v>1404</v>
      </c>
      <c r="E613" s="2" t="s">
        <v>1405</v>
      </c>
      <c r="F613" s="2" t="s">
        <v>1406</v>
      </c>
    </row>
    <row r="614" spans="1:6">
      <c r="A614" s="3" t="s">
        <v>1133</v>
      </c>
      <c r="B614" s="3" t="s">
        <v>93</v>
      </c>
      <c r="C614" s="4" t="s">
        <v>1407</v>
      </c>
      <c r="D614" s="2" t="s">
        <v>1408</v>
      </c>
      <c r="E614" s="2" t="s">
        <v>1409</v>
      </c>
      <c r="F614" s="2" t="s">
        <v>1410</v>
      </c>
    </row>
    <row r="615" spans="1:6">
      <c r="A615" s="3" t="s">
        <v>1133</v>
      </c>
      <c r="B615" s="3" t="s">
        <v>93</v>
      </c>
      <c r="C615" s="4" t="s">
        <v>1411</v>
      </c>
      <c r="D615" s="2" t="s">
        <v>1412</v>
      </c>
      <c r="E615" s="2" t="s">
        <v>1413</v>
      </c>
      <c r="F615" s="2" t="s">
        <v>1414</v>
      </c>
    </row>
    <row r="616" spans="1:6">
      <c r="A616" s="3" t="s">
        <v>1133</v>
      </c>
      <c r="B616" s="3" t="s">
        <v>93</v>
      </c>
      <c r="C616" s="4" t="s">
        <v>1415</v>
      </c>
      <c r="D616" s="2" t="s">
        <v>1416</v>
      </c>
      <c r="E616" s="2" t="s">
        <v>1417</v>
      </c>
      <c r="F616" s="2" t="s">
        <v>1418</v>
      </c>
    </row>
    <row r="617" spans="1:6">
      <c r="A617" s="3" t="s">
        <v>1133</v>
      </c>
      <c r="B617" s="3" t="s">
        <v>93</v>
      </c>
      <c r="C617" s="4" t="s">
        <v>1419</v>
      </c>
      <c r="D617" s="2" t="s">
        <v>1420</v>
      </c>
      <c r="E617" s="2" t="s">
        <v>1421</v>
      </c>
      <c r="F617" s="2" t="s">
        <v>1420</v>
      </c>
    </row>
    <row r="618" spans="1:6">
      <c r="A618" s="3" t="s">
        <v>1133</v>
      </c>
      <c r="B618" s="3" t="s">
        <v>93</v>
      </c>
      <c r="C618" s="4" t="s">
        <v>1422</v>
      </c>
      <c r="D618" s="2" t="s">
        <v>1423</v>
      </c>
      <c r="E618" s="2" t="s">
        <v>1424</v>
      </c>
      <c r="F618" s="2" t="s">
        <v>1423</v>
      </c>
    </row>
    <row r="619" spans="1:6">
      <c r="A619" s="3" t="s">
        <v>1133</v>
      </c>
      <c r="B619" s="3" t="s">
        <v>93</v>
      </c>
      <c r="C619" s="4" t="s">
        <v>1425</v>
      </c>
      <c r="D619" s="2" t="s">
        <v>1426</v>
      </c>
      <c r="E619" s="2" t="s">
        <v>1427</v>
      </c>
      <c r="F619" s="2" t="s">
        <v>1426</v>
      </c>
    </row>
    <row r="620" spans="1:6">
      <c r="A620" s="3" t="s">
        <v>1133</v>
      </c>
      <c r="B620" s="3" t="s">
        <v>93</v>
      </c>
      <c r="C620" s="4" t="s">
        <v>1428</v>
      </c>
      <c r="D620" s="2" t="s">
        <v>1429</v>
      </c>
      <c r="E620" s="2" t="s">
        <v>1430</v>
      </c>
      <c r="F620" s="2" t="s">
        <v>1429</v>
      </c>
    </row>
    <row r="621" spans="1:6">
      <c r="A621" s="3" t="s">
        <v>1133</v>
      </c>
      <c r="B621" s="3" t="s">
        <v>93</v>
      </c>
      <c r="C621" s="4" t="s">
        <v>1431</v>
      </c>
      <c r="D621" s="2" t="s">
        <v>1432</v>
      </c>
      <c r="E621" s="2" t="s">
        <v>1433</v>
      </c>
      <c r="F621" s="2" t="s">
        <v>1434</v>
      </c>
    </row>
    <row r="622" spans="1:6">
      <c r="A622" s="3" t="s">
        <v>1133</v>
      </c>
      <c r="B622" s="3" t="s">
        <v>93</v>
      </c>
      <c r="C622" s="4" t="s">
        <v>1435</v>
      </c>
      <c r="D622" s="2" t="s">
        <v>1436</v>
      </c>
      <c r="E622" s="2" t="s">
        <v>1437</v>
      </c>
      <c r="F622" s="2" t="s">
        <v>1438</v>
      </c>
    </row>
    <row r="623" spans="1:6">
      <c r="A623" s="3" t="s">
        <v>1133</v>
      </c>
      <c r="B623" s="3" t="s">
        <v>93</v>
      </c>
      <c r="C623" s="4" t="s">
        <v>1439</v>
      </c>
      <c r="D623" s="2" t="s">
        <v>1440</v>
      </c>
      <c r="E623" s="2" t="s">
        <v>1441</v>
      </c>
      <c r="F623" s="2" t="s">
        <v>1442</v>
      </c>
    </row>
    <row r="624" spans="1:6">
      <c r="A624" s="3" t="s">
        <v>1133</v>
      </c>
      <c r="B624" s="3" t="s">
        <v>93</v>
      </c>
      <c r="C624" s="4" t="s">
        <v>1443</v>
      </c>
      <c r="D624" s="2" t="s">
        <v>1444</v>
      </c>
      <c r="E624" s="2" t="s">
        <v>1445</v>
      </c>
      <c r="F624" s="2" t="s">
        <v>1446</v>
      </c>
    </row>
    <row r="625" spans="1:6">
      <c r="A625" s="3" t="s">
        <v>1133</v>
      </c>
      <c r="B625" s="3" t="s">
        <v>93</v>
      </c>
      <c r="C625" s="4" t="s">
        <v>1447</v>
      </c>
      <c r="D625" s="2" t="s">
        <v>1448</v>
      </c>
      <c r="E625" s="2" t="s">
        <v>1449</v>
      </c>
      <c r="F625" s="2" t="s">
        <v>1450</v>
      </c>
    </row>
    <row r="626" spans="1:6">
      <c r="A626" s="3" t="s">
        <v>1133</v>
      </c>
      <c r="B626" s="3" t="s">
        <v>93</v>
      </c>
      <c r="C626" s="4" t="s">
        <v>1451</v>
      </c>
      <c r="D626" s="2" t="s">
        <v>1452</v>
      </c>
      <c r="E626" s="2" t="s">
        <v>1453</v>
      </c>
      <c r="F626" s="2" t="s">
        <v>1454</v>
      </c>
    </row>
    <row r="627" spans="1:6">
      <c r="A627" s="3" t="s">
        <v>1455</v>
      </c>
      <c r="B627" s="3" t="s">
        <v>91</v>
      </c>
      <c r="C627" s="4" t="s">
        <v>1456</v>
      </c>
      <c r="D627" s="2" t="s">
        <v>1457</v>
      </c>
      <c r="E627" s="2" t="s">
        <v>1458</v>
      </c>
      <c r="F627" s="2" t="s">
        <v>1459</v>
      </c>
    </row>
    <row r="628" spans="1:6">
      <c r="A628" s="3" t="s">
        <v>1455</v>
      </c>
      <c r="B628" s="3" t="s">
        <v>91</v>
      </c>
      <c r="C628" s="4" t="s">
        <v>1460</v>
      </c>
      <c r="D628" s="2" t="s">
        <v>1461</v>
      </c>
      <c r="E628" s="2" t="s">
        <v>1462</v>
      </c>
      <c r="F628" s="2" t="s">
        <v>1463</v>
      </c>
    </row>
    <row r="629" spans="1:6">
      <c r="A629" s="3" t="s">
        <v>1455</v>
      </c>
      <c r="B629" s="3" t="s">
        <v>91</v>
      </c>
      <c r="C629" s="4" t="s">
        <v>1464</v>
      </c>
      <c r="D629" s="2" t="s">
        <v>1465</v>
      </c>
      <c r="E629" s="2" t="s">
        <v>1466</v>
      </c>
      <c r="F629" s="2" t="s">
        <v>1465</v>
      </c>
    </row>
    <row r="630" spans="1:6">
      <c r="A630" s="3" t="s">
        <v>1467</v>
      </c>
      <c r="B630" s="3" t="s">
        <v>92</v>
      </c>
      <c r="C630" s="4" t="s">
        <v>129</v>
      </c>
      <c r="D630" s="2" t="s">
        <v>73</v>
      </c>
      <c r="E630" s="2" t="s">
        <v>130</v>
      </c>
      <c r="F630" s="2" t="s">
        <v>131</v>
      </c>
    </row>
    <row r="631" spans="1:6">
      <c r="A631" s="3" t="s">
        <v>1467</v>
      </c>
      <c r="B631" s="3" t="s">
        <v>92</v>
      </c>
      <c r="C631" s="4" t="s">
        <v>132</v>
      </c>
      <c r="D631" s="2" t="s">
        <v>70</v>
      </c>
      <c r="E631" s="2" t="s">
        <v>133</v>
      </c>
      <c r="F631" s="2" t="s">
        <v>134</v>
      </c>
    </row>
    <row r="632" spans="1:6">
      <c r="A632" s="3" t="s">
        <v>1467</v>
      </c>
      <c r="B632" s="3" t="s">
        <v>92</v>
      </c>
      <c r="C632" s="4" t="s">
        <v>135</v>
      </c>
      <c r="D632" s="2" t="s">
        <v>136</v>
      </c>
      <c r="E632" s="2" t="s">
        <v>137</v>
      </c>
      <c r="F632" s="2" t="s">
        <v>138</v>
      </c>
    </row>
    <row r="633" spans="1:6">
      <c r="A633" s="3" t="s">
        <v>1467</v>
      </c>
      <c r="B633" s="3" t="s">
        <v>92</v>
      </c>
      <c r="C633" s="4" t="s">
        <v>754</v>
      </c>
      <c r="D633" s="2" t="s">
        <v>755</v>
      </c>
      <c r="E633" s="2" t="s">
        <v>756</v>
      </c>
      <c r="F633" s="2" t="s">
        <v>757</v>
      </c>
    </row>
    <row r="634" spans="1:6">
      <c r="A634" s="3" t="s">
        <v>1467</v>
      </c>
      <c r="B634" s="3" t="s">
        <v>92</v>
      </c>
      <c r="C634" s="4" t="s">
        <v>762</v>
      </c>
      <c r="D634" s="2" t="s">
        <v>763</v>
      </c>
      <c r="E634" s="2" t="s">
        <v>764</v>
      </c>
      <c r="F634" s="2" t="s">
        <v>765</v>
      </c>
    </row>
    <row r="635" spans="1:6">
      <c r="A635" s="3" t="s">
        <v>1467</v>
      </c>
      <c r="B635" s="3" t="s">
        <v>92</v>
      </c>
      <c r="C635" s="4" t="s">
        <v>950</v>
      </c>
      <c r="D635" s="2" t="s">
        <v>951</v>
      </c>
      <c r="E635" s="2" t="s">
        <v>952</v>
      </c>
      <c r="F635" s="2" t="s">
        <v>953</v>
      </c>
    </row>
    <row r="636" spans="1:6">
      <c r="A636" s="3" t="s">
        <v>1467</v>
      </c>
      <c r="B636" s="3" t="s">
        <v>92</v>
      </c>
      <c r="C636" s="4" t="s">
        <v>1468</v>
      </c>
      <c r="D636" s="2" t="s">
        <v>1469</v>
      </c>
      <c r="E636" s="2" t="s">
        <v>1470</v>
      </c>
      <c r="F636" s="2" t="s">
        <v>1471</v>
      </c>
    </row>
    <row r="637" spans="1:6">
      <c r="A637" s="3" t="s">
        <v>1467</v>
      </c>
      <c r="B637" s="3" t="s">
        <v>92</v>
      </c>
      <c r="C637" s="4" t="s">
        <v>1472</v>
      </c>
      <c r="D637" s="2" t="s">
        <v>1473</v>
      </c>
      <c r="E637" s="2" t="s">
        <v>1474</v>
      </c>
      <c r="F637" s="2" t="s">
        <v>1475</v>
      </c>
    </row>
    <row r="638" spans="1:6">
      <c r="A638" s="3" t="s">
        <v>1467</v>
      </c>
      <c r="B638" s="3" t="s">
        <v>92</v>
      </c>
      <c r="C638" s="4" t="s">
        <v>1476</v>
      </c>
      <c r="D638" s="2" t="s">
        <v>1477</v>
      </c>
      <c r="E638" s="2" t="s">
        <v>1478</v>
      </c>
      <c r="F638" s="2" t="s">
        <v>1479</v>
      </c>
    </row>
    <row r="639" spans="1:6">
      <c r="A639" s="3" t="s">
        <v>1467</v>
      </c>
      <c r="B639" s="3" t="s">
        <v>92</v>
      </c>
      <c r="C639" s="4" t="s">
        <v>1480</v>
      </c>
      <c r="D639" s="2" t="s">
        <v>1481</v>
      </c>
      <c r="E639" s="2" t="s">
        <v>1482</v>
      </c>
      <c r="F639" s="2" t="s">
        <v>1483</v>
      </c>
    </row>
    <row r="640" spans="1:6">
      <c r="A640" s="3" t="s">
        <v>1467</v>
      </c>
      <c r="B640" s="3" t="s">
        <v>92</v>
      </c>
      <c r="C640" s="4" t="s">
        <v>1484</v>
      </c>
      <c r="D640" s="2" t="s">
        <v>1485</v>
      </c>
      <c r="E640" s="2" t="s">
        <v>1486</v>
      </c>
      <c r="F640" s="2" t="s">
        <v>1487</v>
      </c>
    </row>
    <row r="641" spans="1:6">
      <c r="A641" s="3" t="s">
        <v>1467</v>
      </c>
      <c r="B641" s="3" t="s">
        <v>92</v>
      </c>
      <c r="C641" s="4" t="s">
        <v>1488</v>
      </c>
      <c r="D641" s="2" t="s">
        <v>1489</v>
      </c>
      <c r="E641" s="2" t="s">
        <v>1490</v>
      </c>
      <c r="F641" s="2" t="s">
        <v>1491</v>
      </c>
    </row>
    <row r="642" spans="1:6">
      <c r="A642" s="3" t="s">
        <v>1467</v>
      </c>
      <c r="B642" s="3" t="s">
        <v>92</v>
      </c>
      <c r="C642" s="4" t="s">
        <v>1492</v>
      </c>
      <c r="D642" s="2" t="s">
        <v>1493</v>
      </c>
      <c r="E642" s="2" t="s">
        <v>1494</v>
      </c>
      <c r="F642" s="2" t="s">
        <v>1495</v>
      </c>
    </row>
    <row r="643" spans="1:6">
      <c r="A643" s="3" t="s">
        <v>1467</v>
      </c>
      <c r="B643" s="3" t="s">
        <v>92</v>
      </c>
      <c r="C643" s="4" t="s">
        <v>1496</v>
      </c>
      <c r="D643" s="2" t="s">
        <v>1497</v>
      </c>
      <c r="E643" s="2" t="s">
        <v>1498</v>
      </c>
      <c r="F643" s="2" t="s">
        <v>1499</v>
      </c>
    </row>
    <row r="644" spans="1:6">
      <c r="A644" s="3" t="s">
        <v>1500</v>
      </c>
      <c r="B644" s="3" t="s">
        <v>94</v>
      </c>
      <c r="C644" s="4" t="s">
        <v>129</v>
      </c>
      <c r="D644" s="2" t="s">
        <v>73</v>
      </c>
      <c r="E644" s="2" t="s">
        <v>130</v>
      </c>
      <c r="F644" s="2" t="s">
        <v>131</v>
      </c>
    </row>
    <row r="645" spans="1:6">
      <c r="A645" s="3" t="s">
        <v>1500</v>
      </c>
      <c r="B645" s="3" t="s">
        <v>94</v>
      </c>
      <c r="C645" s="4" t="s">
        <v>132</v>
      </c>
      <c r="D645" s="2" t="s">
        <v>70</v>
      </c>
      <c r="E645" s="2" t="s">
        <v>133</v>
      </c>
      <c r="F645" s="2" t="s">
        <v>134</v>
      </c>
    </row>
    <row r="646" spans="1:6">
      <c r="A646" s="3" t="s">
        <v>1500</v>
      </c>
      <c r="B646" s="3" t="s">
        <v>94</v>
      </c>
      <c r="C646" s="4" t="s">
        <v>135</v>
      </c>
      <c r="D646" s="2" t="s">
        <v>136</v>
      </c>
      <c r="E646" s="2" t="s">
        <v>137</v>
      </c>
      <c r="F646" s="2" t="s">
        <v>138</v>
      </c>
    </row>
    <row r="647" spans="1:6">
      <c r="A647" s="3" t="s">
        <v>1500</v>
      </c>
      <c r="B647" s="3" t="s">
        <v>94</v>
      </c>
      <c r="C647" s="4" t="s">
        <v>754</v>
      </c>
      <c r="D647" s="2" t="s">
        <v>755</v>
      </c>
      <c r="E647" s="2" t="s">
        <v>756</v>
      </c>
      <c r="F647" s="2" t="s">
        <v>757</v>
      </c>
    </row>
    <row r="648" spans="1:6">
      <c r="A648" s="3" t="s">
        <v>1500</v>
      </c>
      <c r="B648" s="3" t="s">
        <v>94</v>
      </c>
      <c r="C648" s="4" t="s">
        <v>907</v>
      </c>
      <c r="D648" s="2" t="s">
        <v>908</v>
      </c>
      <c r="E648" s="2" t="s">
        <v>909</v>
      </c>
      <c r="F648" s="2" t="s">
        <v>910</v>
      </c>
    </row>
    <row r="649" spans="1:6">
      <c r="A649" s="3" t="s">
        <v>1500</v>
      </c>
      <c r="B649" s="3" t="s">
        <v>94</v>
      </c>
      <c r="C649" s="4" t="s">
        <v>911</v>
      </c>
      <c r="D649" s="2" t="s">
        <v>912</v>
      </c>
      <c r="E649" s="2" t="s">
        <v>913</v>
      </c>
      <c r="F649" s="2" t="s">
        <v>914</v>
      </c>
    </row>
    <row r="650" spans="1:6">
      <c r="A650" s="3" t="s">
        <v>1500</v>
      </c>
      <c r="B650" s="3" t="s">
        <v>94</v>
      </c>
      <c r="C650" s="4" t="s">
        <v>758</v>
      </c>
      <c r="D650" s="2" t="s">
        <v>759</v>
      </c>
      <c r="E650" s="2" t="s">
        <v>760</v>
      </c>
      <c r="F650" s="2" t="s">
        <v>761</v>
      </c>
    </row>
    <row r="651" spans="1:6">
      <c r="A651" s="3" t="s">
        <v>1500</v>
      </c>
      <c r="B651" s="3" t="s">
        <v>94</v>
      </c>
      <c r="C651" s="4" t="s">
        <v>766</v>
      </c>
      <c r="D651" s="2" t="s">
        <v>767</v>
      </c>
      <c r="E651" s="2" t="s">
        <v>768</v>
      </c>
      <c r="F651" s="2" t="s">
        <v>767</v>
      </c>
    </row>
    <row r="652" spans="1:6">
      <c r="A652" s="3" t="s">
        <v>1500</v>
      </c>
      <c r="B652" s="3" t="s">
        <v>94</v>
      </c>
      <c r="C652" s="4" t="s">
        <v>915</v>
      </c>
      <c r="D652" s="2" t="s">
        <v>916</v>
      </c>
      <c r="E652" s="2" t="s">
        <v>917</v>
      </c>
      <c r="F652" s="2" t="s">
        <v>918</v>
      </c>
    </row>
    <row r="653" spans="1:6">
      <c r="A653" s="3" t="s">
        <v>1500</v>
      </c>
      <c r="B653" s="3" t="s">
        <v>94</v>
      </c>
      <c r="C653" s="4" t="s">
        <v>1056</v>
      </c>
      <c r="D653" s="2" t="s">
        <v>1057</v>
      </c>
      <c r="E653" s="2" t="s">
        <v>1058</v>
      </c>
      <c r="F653" s="2" t="s">
        <v>1057</v>
      </c>
    </row>
    <row r="654" spans="1:6">
      <c r="A654" s="3" t="s">
        <v>1500</v>
      </c>
      <c r="B654" s="3" t="s">
        <v>94</v>
      </c>
      <c r="C654" s="4" t="s">
        <v>1134</v>
      </c>
      <c r="D654" s="2" t="s">
        <v>1135</v>
      </c>
      <c r="E654" s="2" t="s">
        <v>1136</v>
      </c>
      <c r="F654" s="2" t="s">
        <v>1137</v>
      </c>
    </row>
    <row r="655" spans="1:6">
      <c r="A655" s="3" t="s">
        <v>1500</v>
      </c>
      <c r="B655" s="3" t="s">
        <v>94</v>
      </c>
      <c r="C655" s="4" t="s">
        <v>1138</v>
      </c>
      <c r="D655" s="2" t="s">
        <v>1139</v>
      </c>
      <c r="E655" s="2" t="s">
        <v>1140</v>
      </c>
      <c r="F655" s="2" t="s">
        <v>1141</v>
      </c>
    </row>
    <row r="656" spans="1:6">
      <c r="A656" s="3" t="s">
        <v>1500</v>
      </c>
      <c r="B656" s="3" t="s">
        <v>94</v>
      </c>
      <c r="C656" s="4" t="s">
        <v>1059</v>
      </c>
      <c r="D656" s="2" t="s">
        <v>1060</v>
      </c>
      <c r="E656" s="2" t="s">
        <v>1061</v>
      </c>
      <c r="F656" s="2" t="s">
        <v>1062</v>
      </c>
    </row>
    <row r="657" spans="1:6">
      <c r="A657" s="3" t="s">
        <v>1500</v>
      </c>
      <c r="B657" s="3" t="s">
        <v>94</v>
      </c>
      <c r="C657" s="4" t="s">
        <v>1146</v>
      </c>
      <c r="D657" s="2" t="s">
        <v>1147</v>
      </c>
      <c r="E657" s="2" t="s">
        <v>1148</v>
      </c>
      <c r="F657" s="2" t="s">
        <v>1149</v>
      </c>
    </row>
    <row r="658" spans="1:6">
      <c r="A658" s="3" t="s">
        <v>1500</v>
      </c>
      <c r="B658" s="3" t="s">
        <v>94</v>
      </c>
      <c r="C658" s="4" t="s">
        <v>919</v>
      </c>
      <c r="D658" s="2" t="s">
        <v>920</v>
      </c>
      <c r="E658" s="2" t="s">
        <v>921</v>
      </c>
      <c r="F658" s="2" t="s">
        <v>922</v>
      </c>
    </row>
    <row r="659" spans="1:6">
      <c r="A659" s="3" t="s">
        <v>1500</v>
      </c>
      <c r="B659" s="3" t="s">
        <v>94</v>
      </c>
      <c r="C659" s="4" t="s">
        <v>923</v>
      </c>
      <c r="D659" s="2" t="s">
        <v>924</v>
      </c>
      <c r="E659" s="2" t="s">
        <v>925</v>
      </c>
      <c r="F659" s="2" t="s">
        <v>922</v>
      </c>
    </row>
    <row r="660" spans="1:6">
      <c r="A660" s="3" t="s">
        <v>1500</v>
      </c>
      <c r="B660" s="3" t="s">
        <v>94</v>
      </c>
      <c r="C660" s="4" t="s">
        <v>1154</v>
      </c>
      <c r="D660" s="2" t="s">
        <v>1155</v>
      </c>
      <c r="E660" s="2" t="s">
        <v>1156</v>
      </c>
      <c r="F660" s="2" t="s">
        <v>1157</v>
      </c>
    </row>
    <row r="661" spans="1:6">
      <c r="A661" s="3" t="s">
        <v>1500</v>
      </c>
      <c r="B661" s="3" t="s">
        <v>94</v>
      </c>
      <c r="C661" s="4" t="s">
        <v>1158</v>
      </c>
      <c r="D661" s="2" t="s">
        <v>1159</v>
      </c>
      <c r="E661" s="2" t="s">
        <v>1160</v>
      </c>
      <c r="F661" s="2" t="s">
        <v>1161</v>
      </c>
    </row>
    <row r="662" spans="1:6">
      <c r="A662" s="3" t="s">
        <v>1500</v>
      </c>
      <c r="B662" s="3" t="s">
        <v>94</v>
      </c>
      <c r="C662" s="4" t="s">
        <v>164</v>
      </c>
      <c r="D662" s="2" t="s">
        <v>60</v>
      </c>
      <c r="E662" s="2" t="s">
        <v>165</v>
      </c>
      <c r="F662" s="2" t="s">
        <v>166</v>
      </c>
    </row>
    <row r="663" spans="1:6">
      <c r="A663" s="3" t="s">
        <v>1500</v>
      </c>
      <c r="B663" s="3" t="s">
        <v>94</v>
      </c>
      <c r="C663" s="4" t="s">
        <v>167</v>
      </c>
      <c r="D663" s="2" t="s">
        <v>61</v>
      </c>
      <c r="E663" s="2" t="s">
        <v>168</v>
      </c>
      <c r="F663" s="2" t="s">
        <v>169</v>
      </c>
    </row>
    <row r="664" spans="1:6">
      <c r="A664" s="3" t="s">
        <v>1500</v>
      </c>
      <c r="B664" s="3" t="s">
        <v>94</v>
      </c>
      <c r="C664" s="4" t="s">
        <v>170</v>
      </c>
      <c r="D664" s="2" t="s">
        <v>68</v>
      </c>
      <c r="E664" s="2" t="s">
        <v>171</v>
      </c>
      <c r="F664" s="2" t="s">
        <v>172</v>
      </c>
    </row>
    <row r="665" spans="1:6">
      <c r="A665" s="3" t="s">
        <v>1500</v>
      </c>
      <c r="B665" s="3" t="s">
        <v>94</v>
      </c>
      <c r="C665" s="4" t="s">
        <v>807</v>
      </c>
      <c r="D665" s="2" t="s">
        <v>808</v>
      </c>
      <c r="E665" s="2" t="s">
        <v>809</v>
      </c>
      <c r="F665" s="2" t="s">
        <v>810</v>
      </c>
    </row>
    <row r="666" spans="1:6">
      <c r="A666" s="3" t="s">
        <v>1500</v>
      </c>
      <c r="B666" s="3" t="s">
        <v>94</v>
      </c>
      <c r="C666" s="4" t="s">
        <v>811</v>
      </c>
      <c r="D666" s="2" t="s">
        <v>812</v>
      </c>
      <c r="E666" s="2" t="s">
        <v>813</v>
      </c>
      <c r="F666" s="2" t="s">
        <v>814</v>
      </c>
    </row>
    <row r="667" spans="1:6">
      <c r="A667" s="3" t="s">
        <v>1500</v>
      </c>
      <c r="B667" s="3" t="s">
        <v>94</v>
      </c>
      <c r="C667" s="4" t="s">
        <v>815</v>
      </c>
      <c r="D667" s="2" t="s">
        <v>816</v>
      </c>
      <c r="E667" s="2" t="s">
        <v>817</v>
      </c>
      <c r="F667" s="2" t="s">
        <v>818</v>
      </c>
    </row>
    <row r="668" spans="1:6">
      <c r="A668" s="3" t="s">
        <v>1500</v>
      </c>
      <c r="B668" s="3" t="s">
        <v>94</v>
      </c>
      <c r="C668" s="4" t="s">
        <v>819</v>
      </c>
      <c r="D668" s="2" t="s">
        <v>820</v>
      </c>
      <c r="E668" s="2" t="s">
        <v>821</v>
      </c>
      <c r="F668" s="2" t="s">
        <v>822</v>
      </c>
    </row>
    <row r="669" spans="1:6">
      <c r="A669" s="3" t="s">
        <v>1500</v>
      </c>
      <c r="B669" s="3" t="s">
        <v>94</v>
      </c>
      <c r="C669" s="4" t="s">
        <v>823</v>
      </c>
      <c r="D669" s="2" t="s">
        <v>824</v>
      </c>
      <c r="E669" s="2" t="s">
        <v>825</v>
      </c>
      <c r="F669" s="2" t="s">
        <v>826</v>
      </c>
    </row>
    <row r="670" spans="1:6">
      <c r="A670" s="3" t="s">
        <v>1500</v>
      </c>
      <c r="B670" s="3" t="s">
        <v>94</v>
      </c>
      <c r="C670" s="4" t="s">
        <v>1169</v>
      </c>
      <c r="D670" s="2" t="s">
        <v>1170</v>
      </c>
      <c r="E670" s="2" t="s">
        <v>1171</v>
      </c>
      <c r="F670" s="2" t="s">
        <v>1172</v>
      </c>
    </row>
    <row r="671" spans="1:6">
      <c r="A671" s="3" t="s">
        <v>1500</v>
      </c>
      <c r="B671" s="3" t="s">
        <v>94</v>
      </c>
      <c r="C671" s="4" t="s">
        <v>1501</v>
      </c>
      <c r="D671" s="2" t="s">
        <v>1502</v>
      </c>
      <c r="E671" s="2" t="s">
        <v>1503</v>
      </c>
      <c r="F671" s="2" t="s">
        <v>1504</v>
      </c>
    </row>
    <row r="672" spans="1:6">
      <c r="A672" s="3" t="s">
        <v>1500</v>
      </c>
      <c r="B672" s="3" t="s">
        <v>94</v>
      </c>
      <c r="C672" s="4" t="s">
        <v>958</v>
      </c>
      <c r="D672" s="2" t="s">
        <v>959</v>
      </c>
      <c r="E672" s="2" t="s">
        <v>960</v>
      </c>
      <c r="F672" s="2" t="s">
        <v>961</v>
      </c>
    </row>
    <row r="673" spans="1:6">
      <c r="A673" s="3" t="s">
        <v>1500</v>
      </c>
      <c r="B673" s="3" t="s">
        <v>94</v>
      </c>
      <c r="C673" s="4" t="s">
        <v>962</v>
      </c>
      <c r="D673" s="2" t="s">
        <v>963</v>
      </c>
      <c r="E673" s="2" t="s">
        <v>964</v>
      </c>
      <c r="F673" s="2" t="s">
        <v>965</v>
      </c>
    </row>
    <row r="674" spans="1:6">
      <c r="A674" s="3" t="s">
        <v>1500</v>
      </c>
      <c r="B674" s="3" t="s">
        <v>94</v>
      </c>
      <c r="C674" s="4" t="s">
        <v>1173</v>
      </c>
      <c r="D674" s="2" t="s">
        <v>1174</v>
      </c>
      <c r="E674" s="2" t="s">
        <v>1175</v>
      </c>
      <c r="F674" s="2" t="s">
        <v>1176</v>
      </c>
    </row>
    <row r="675" spans="1:6">
      <c r="A675" s="3" t="s">
        <v>1500</v>
      </c>
      <c r="B675" s="3" t="s">
        <v>94</v>
      </c>
      <c r="C675" s="4" t="s">
        <v>1177</v>
      </c>
      <c r="D675" s="2" t="s">
        <v>1178</v>
      </c>
      <c r="E675" s="2" t="s">
        <v>1179</v>
      </c>
      <c r="F675" s="2" t="s">
        <v>1180</v>
      </c>
    </row>
    <row r="676" spans="1:6">
      <c r="A676" s="3" t="s">
        <v>1500</v>
      </c>
      <c r="B676" s="3" t="s">
        <v>94</v>
      </c>
      <c r="C676" s="4" t="s">
        <v>1181</v>
      </c>
      <c r="D676" s="2" t="s">
        <v>1182</v>
      </c>
      <c r="E676" s="2" t="s">
        <v>1183</v>
      </c>
      <c r="F676" s="2" t="s">
        <v>1184</v>
      </c>
    </row>
    <row r="677" spans="1:6">
      <c r="A677" s="3" t="s">
        <v>1500</v>
      </c>
      <c r="B677" s="3" t="s">
        <v>94</v>
      </c>
      <c r="C677" s="4" t="s">
        <v>1185</v>
      </c>
      <c r="D677" s="2" t="s">
        <v>1186</v>
      </c>
      <c r="E677" s="2" t="s">
        <v>1187</v>
      </c>
      <c r="F677" s="2" t="s">
        <v>1188</v>
      </c>
    </row>
    <row r="678" spans="1:6">
      <c r="A678" s="3" t="s">
        <v>1500</v>
      </c>
      <c r="B678" s="3" t="s">
        <v>94</v>
      </c>
      <c r="C678" s="4" t="s">
        <v>1505</v>
      </c>
      <c r="D678" s="2" t="s">
        <v>1506</v>
      </c>
      <c r="E678" s="2" t="s">
        <v>1507</v>
      </c>
      <c r="F678" s="2" t="s">
        <v>1506</v>
      </c>
    </row>
    <row r="679" spans="1:6">
      <c r="A679" s="3" t="s">
        <v>1500</v>
      </c>
      <c r="B679" s="3" t="s">
        <v>94</v>
      </c>
      <c r="C679" s="4" t="s">
        <v>1508</v>
      </c>
      <c r="D679" s="2" t="s">
        <v>1509</v>
      </c>
      <c r="E679" s="2" t="s">
        <v>1507</v>
      </c>
      <c r="F679" s="2" t="s">
        <v>1509</v>
      </c>
    </row>
    <row r="680" spans="1:6">
      <c r="A680" s="3" t="s">
        <v>1500</v>
      </c>
      <c r="B680" s="3" t="s">
        <v>94</v>
      </c>
      <c r="C680" s="4" t="s">
        <v>1510</v>
      </c>
      <c r="D680" s="2" t="s">
        <v>1511</v>
      </c>
      <c r="E680" s="2" t="s">
        <v>1507</v>
      </c>
      <c r="F680" s="2" t="s">
        <v>1511</v>
      </c>
    </row>
    <row r="681" spans="1:6">
      <c r="A681" s="3" t="s">
        <v>1500</v>
      </c>
      <c r="B681" s="3" t="s">
        <v>94</v>
      </c>
      <c r="C681" s="4" t="s">
        <v>1512</v>
      </c>
      <c r="D681" s="2" t="s">
        <v>1513</v>
      </c>
      <c r="E681" s="2" t="s">
        <v>1507</v>
      </c>
      <c r="F681" s="2" t="s">
        <v>1513</v>
      </c>
    </row>
    <row r="682" spans="1:6">
      <c r="A682" s="3" t="s">
        <v>1500</v>
      </c>
      <c r="B682" s="3" t="s">
        <v>94</v>
      </c>
      <c r="C682" s="4" t="s">
        <v>1514</v>
      </c>
      <c r="D682" s="2" t="s">
        <v>1515</v>
      </c>
      <c r="E682" s="2" t="s">
        <v>1507</v>
      </c>
      <c r="F682" s="2" t="s">
        <v>1515</v>
      </c>
    </row>
    <row r="683" spans="1:6">
      <c r="A683" s="3" t="s">
        <v>1500</v>
      </c>
      <c r="B683" s="3" t="s">
        <v>94</v>
      </c>
      <c r="C683" s="4" t="s">
        <v>1516</v>
      </c>
      <c r="D683" s="2" t="s">
        <v>1517</v>
      </c>
      <c r="E683" s="2" t="s">
        <v>1507</v>
      </c>
      <c r="F683" s="2" t="s">
        <v>1517</v>
      </c>
    </row>
    <row r="684" spans="1:6">
      <c r="A684" s="3" t="s">
        <v>1500</v>
      </c>
      <c r="B684" s="3" t="s">
        <v>94</v>
      </c>
      <c r="C684" s="4" t="s">
        <v>1189</v>
      </c>
      <c r="D684" s="2" t="s">
        <v>1190</v>
      </c>
      <c r="E684" s="2" t="s">
        <v>1191</v>
      </c>
      <c r="F684" s="2" t="s">
        <v>1192</v>
      </c>
    </row>
    <row r="685" spans="1:6">
      <c r="A685" s="3" t="s">
        <v>1500</v>
      </c>
      <c r="B685" s="3" t="s">
        <v>94</v>
      </c>
      <c r="C685" s="4" t="s">
        <v>1518</v>
      </c>
      <c r="D685" s="2" t="s">
        <v>1519</v>
      </c>
      <c r="E685" s="2" t="s">
        <v>1520</v>
      </c>
      <c r="F685" s="2" t="s">
        <v>1521</v>
      </c>
    </row>
    <row r="686" spans="1:6">
      <c r="A686" s="3" t="s">
        <v>1500</v>
      </c>
      <c r="B686" s="3" t="s">
        <v>94</v>
      </c>
      <c r="C686" s="4" t="s">
        <v>1196</v>
      </c>
      <c r="D686" s="2" t="s">
        <v>1197</v>
      </c>
      <c r="E686" s="2" t="s">
        <v>1198</v>
      </c>
      <c r="F686" s="2" t="s">
        <v>1199</v>
      </c>
    </row>
    <row r="687" spans="1:6">
      <c r="A687" s="3" t="s">
        <v>1500</v>
      </c>
      <c r="B687" s="3" t="s">
        <v>94</v>
      </c>
      <c r="C687" s="4" t="s">
        <v>1200</v>
      </c>
      <c r="D687" s="2" t="s">
        <v>1201</v>
      </c>
      <c r="E687" s="2" t="s">
        <v>1202</v>
      </c>
      <c r="F687" s="2" t="s">
        <v>1203</v>
      </c>
    </row>
    <row r="688" spans="1:6">
      <c r="A688" s="3" t="s">
        <v>1500</v>
      </c>
      <c r="B688" s="3" t="s">
        <v>94</v>
      </c>
      <c r="C688" s="4" t="s">
        <v>1204</v>
      </c>
      <c r="D688" s="2" t="s">
        <v>1205</v>
      </c>
      <c r="E688" s="2" t="s">
        <v>1206</v>
      </c>
      <c r="F688" s="2" t="s">
        <v>1207</v>
      </c>
    </row>
    <row r="689" spans="1:6">
      <c r="A689" s="3" t="s">
        <v>1500</v>
      </c>
      <c r="B689" s="3" t="s">
        <v>94</v>
      </c>
      <c r="C689" s="4" t="s">
        <v>1208</v>
      </c>
      <c r="D689" s="2" t="s">
        <v>1209</v>
      </c>
      <c r="E689" s="2" t="s">
        <v>1210</v>
      </c>
      <c r="F689" s="2" t="s">
        <v>1211</v>
      </c>
    </row>
    <row r="690" spans="1:6">
      <c r="A690" s="3" t="s">
        <v>1500</v>
      </c>
      <c r="B690" s="3" t="s">
        <v>94</v>
      </c>
      <c r="C690" s="4" t="s">
        <v>1212</v>
      </c>
      <c r="D690" s="2" t="s">
        <v>1213</v>
      </c>
      <c r="E690" s="2" t="s">
        <v>1214</v>
      </c>
      <c r="F690" s="2" t="s">
        <v>1215</v>
      </c>
    </row>
    <row r="691" spans="1:6">
      <c r="A691" s="3" t="s">
        <v>1500</v>
      </c>
      <c r="B691" s="3" t="s">
        <v>94</v>
      </c>
      <c r="C691" s="4" t="s">
        <v>1522</v>
      </c>
      <c r="D691" s="2" t="s">
        <v>1523</v>
      </c>
      <c r="E691" s="2" t="s">
        <v>1524</v>
      </c>
      <c r="F691" s="2" t="s">
        <v>1525</v>
      </c>
    </row>
    <row r="692" spans="1:6">
      <c r="A692" s="3" t="s">
        <v>1500</v>
      </c>
      <c r="B692" s="3" t="s">
        <v>94</v>
      </c>
      <c r="C692" s="4" t="s">
        <v>1526</v>
      </c>
      <c r="D692" s="2" t="s">
        <v>1527</v>
      </c>
      <c r="E692" s="2" t="s">
        <v>1507</v>
      </c>
      <c r="F692" s="2" t="s">
        <v>1527</v>
      </c>
    </row>
    <row r="693" spans="1:6">
      <c r="A693" s="3" t="s">
        <v>1500</v>
      </c>
      <c r="B693" s="3" t="s">
        <v>94</v>
      </c>
      <c r="C693" s="4" t="s">
        <v>1528</v>
      </c>
      <c r="D693" s="2" t="s">
        <v>1529</v>
      </c>
      <c r="E693" s="2" t="s">
        <v>1507</v>
      </c>
      <c r="F693" s="2" t="s">
        <v>1529</v>
      </c>
    </row>
    <row r="694" spans="1:6">
      <c r="A694" s="3" t="s">
        <v>1500</v>
      </c>
      <c r="B694" s="3" t="s">
        <v>94</v>
      </c>
      <c r="C694" s="4" t="s">
        <v>1530</v>
      </c>
      <c r="D694" s="2" t="s">
        <v>1531</v>
      </c>
      <c r="E694" s="2" t="s">
        <v>1507</v>
      </c>
      <c r="F694" s="2" t="s">
        <v>1531</v>
      </c>
    </row>
    <row r="695" spans="1:6">
      <c r="A695" s="3" t="s">
        <v>1500</v>
      </c>
      <c r="B695" s="3" t="s">
        <v>94</v>
      </c>
      <c r="C695" s="4" t="s">
        <v>1532</v>
      </c>
      <c r="D695" s="2" t="s">
        <v>1533</v>
      </c>
      <c r="E695" s="2" t="s">
        <v>1507</v>
      </c>
      <c r="F695" s="2" t="s">
        <v>1533</v>
      </c>
    </row>
    <row r="696" spans="1:6">
      <c r="A696" s="3" t="s">
        <v>1500</v>
      </c>
      <c r="B696" s="3" t="s">
        <v>94</v>
      </c>
      <c r="C696" s="4" t="s">
        <v>1534</v>
      </c>
      <c r="D696" s="2" t="s">
        <v>1535</v>
      </c>
      <c r="E696" s="2" t="s">
        <v>1507</v>
      </c>
      <c r="F696" s="2" t="s">
        <v>1535</v>
      </c>
    </row>
    <row r="697" spans="1:6">
      <c r="A697" s="3" t="s">
        <v>1500</v>
      </c>
      <c r="B697" s="3" t="s">
        <v>94</v>
      </c>
      <c r="C697" s="4" t="s">
        <v>1536</v>
      </c>
      <c r="D697" s="2" t="s">
        <v>1537</v>
      </c>
      <c r="E697" s="2" t="s">
        <v>1507</v>
      </c>
      <c r="F697" s="2" t="s">
        <v>1537</v>
      </c>
    </row>
    <row r="698" spans="1:6">
      <c r="A698" s="3" t="s">
        <v>1500</v>
      </c>
      <c r="B698" s="3" t="s">
        <v>94</v>
      </c>
      <c r="C698" s="4" t="s">
        <v>1538</v>
      </c>
      <c r="D698" s="2" t="s">
        <v>1539</v>
      </c>
      <c r="E698" s="2" t="s">
        <v>1507</v>
      </c>
      <c r="F698" s="2" t="s">
        <v>1539</v>
      </c>
    </row>
    <row r="699" spans="1:6">
      <c r="A699" s="3" t="s">
        <v>1500</v>
      </c>
      <c r="B699" s="3" t="s">
        <v>94</v>
      </c>
      <c r="C699" s="4" t="s">
        <v>1540</v>
      </c>
      <c r="D699" s="2" t="s">
        <v>1541</v>
      </c>
      <c r="E699" s="2" t="s">
        <v>1507</v>
      </c>
      <c r="F699" s="2" t="s">
        <v>1541</v>
      </c>
    </row>
    <row r="700" spans="1:6">
      <c r="A700" s="3" t="s">
        <v>1500</v>
      </c>
      <c r="B700" s="3" t="s">
        <v>94</v>
      </c>
      <c r="C700" s="4" t="s">
        <v>1542</v>
      </c>
      <c r="D700" s="2" t="s">
        <v>1543</v>
      </c>
      <c r="E700" s="2" t="s">
        <v>1507</v>
      </c>
      <c r="F700" s="2" t="s">
        <v>1543</v>
      </c>
    </row>
    <row r="701" spans="1:6">
      <c r="A701" s="3" t="s">
        <v>1500</v>
      </c>
      <c r="B701" s="3" t="s">
        <v>94</v>
      </c>
      <c r="C701" s="4" t="s">
        <v>1544</v>
      </c>
      <c r="D701" s="2" t="s">
        <v>1545</v>
      </c>
      <c r="E701" s="2" t="s">
        <v>1507</v>
      </c>
      <c r="F701" s="2" t="s">
        <v>1545</v>
      </c>
    </row>
    <row r="702" spans="1:6">
      <c r="A702" s="3" t="s">
        <v>1500</v>
      </c>
      <c r="B702" s="3" t="s">
        <v>94</v>
      </c>
      <c r="C702" s="4" t="s">
        <v>1546</v>
      </c>
      <c r="D702" s="2" t="s">
        <v>1547</v>
      </c>
      <c r="E702" s="2" t="s">
        <v>1507</v>
      </c>
      <c r="F702" s="2" t="s">
        <v>1547</v>
      </c>
    </row>
    <row r="703" spans="1:6">
      <c r="A703" s="3" t="s">
        <v>1500</v>
      </c>
      <c r="B703" s="3" t="s">
        <v>94</v>
      </c>
      <c r="C703" s="4" t="s">
        <v>1548</v>
      </c>
      <c r="D703" s="2" t="s">
        <v>1549</v>
      </c>
      <c r="E703" s="2" t="s">
        <v>1507</v>
      </c>
      <c r="F703" s="2" t="s">
        <v>1549</v>
      </c>
    </row>
    <row r="704" spans="1:6">
      <c r="A704" s="3" t="s">
        <v>1500</v>
      </c>
      <c r="B704" s="3" t="s">
        <v>94</v>
      </c>
      <c r="C704" s="4" t="s">
        <v>1550</v>
      </c>
      <c r="D704" s="2" t="s">
        <v>1551</v>
      </c>
      <c r="E704" s="2" t="s">
        <v>1507</v>
      </c>
      <c r="F704" s="2" t="s">
        <v>1551</v>
      </c>
    </row>
    <row r="705" spans="1:6">
      <c r="A705" s="3" t="s">
        <v>1500</v>
      </c>
      <c r="B705" s="3" t="s">
        <v>94</v>
      </c>
      <c r="C705" s="4" t="s">
        <v>1552</v>
      </c>
      <c r="D705" s="2" t="s">
        <v>1553</v>
      </c>
      <c r="E705" s="2" t="s">
        <v>1507</v>
      </c>
      <c r="F705" s="2" t="s">
        <v>1553</v>
      </c>
    </row>
    <row r="706" spans="1:6">
      <c r="A706" s="3" t="s">
        <v>1500</v>
      </c>
      <c r="B706" s="3" t="s">
        <v>94</v>
      </c>
      <c r="C706" s="4" t="s">
        <v>1554</v>
      </c>
      <c r="D706" s="2" t="s">
        <v>1555</v>
      </c>
      <c r="E706" s="2" t="s">
        <v>1507</v>
      </c>
      <c r="F706" s="2" t="s">
        <v>1555</v>
      </c>
    </row>
    <row r="707" spans="1:6">
      <c r="A707" s="3" t="s">
        <v>1500</v>
      </c>
      <c r="B707" s="3" t="s">
        <v>94</v>
      </c>
      <c r="C707" s="4" t="s">
        <v>1556</v>
      </c>
      <c r="D707" s="2" t="s">
        <v>1557</v>
      </c>
      <c r="E707" s="2" t="s">
        <v>1507</v>
      </c>
      <c r="F707" s="2" t="s">
        <v>1557</v>
      </c>
    </row>
    <row r="708" spans="1:6">
      <c r="A708" s="3" t="s">
        <v>1500</v>
      </c>
      <c r="B708" s="3" t="s">
        <v>94</v>
      </c>
      <c r="C708" s="4" t="s">
        <v>1558</v>
      </c>
      <c r="D708" s="2" t="s">
        <v>1559</v>
      </c>
      <c r="E708" s="2" t="s">
        <v>1507</v>
      </c>
      <c r="F708" s="2" t="s">
        <v>1559</v>
      </c>
    </row>
    <row r="709" spans="1:6">
      <c r="A709" s="3" t="s">
        <v>1500</v>
      </c>
      <c r="B709" s="3" t="s">
        <v>94</v>
      </c>
      <c r="C709" s="4" t="s">
        <v>1560</v>
      </c>
      <c r="D709" s="2" t="s">
        <v>1561</v>
      </c>
      <c r="E709" s="2" t="s">
        <v>1507</v>
      </c>
      <c r="F709" s="2" t="s">
        <v>1561</v>
      </c>
    </row>
    <row r="710" spans="1:6">
      <c r="A710" s="3" t="s">
        <v>1500</v>
      </c>
      <c r="B710" s="3" t="s">
        <v>94</v>
      </c>
      <c r="C710" s="4" t="s">
        <v>1562</v>
      </c>
      <c r="D710" s="2" t="s">
        <v>1563</v>
      </c>
      <c r="E710" s="2" t="s">
        <v>1507</v>
      </c>
      <c r="F710" s="2" t="s">
        <v>1563</v>
      </c>
    </row>
    <row r="711" spans="1:6">
      <c r="A711" s="3" t="s">
        <v>1500</v>
      </c>
      <c r="B711" s="3" t="s">
        <v>94</v>
      </c>
      <c r="C711" s="4" t="s">
        <v>1564</v>
      </c>
      <c r="D711" s="2" t="s">
        <v>1565</v>
      </c>
      <c r="E711" s="2" t="s">
        <v>1507</v>
      </c>
      <c r="F711" s="2" t="s">
        <v>1565</v>
      </c>
    </row>
    <row r="712" spans="1:6">
      <c r="A712" s="3" t="s">
        <v>1500</v>
      </c>
      <c r="B712" s="3" t="s">
        <v>94</v>
      </c>
      <c r="C712" s="4" t="s">
        <v>1566</v>
      </c>
      <c r="D712" s="2" t="s">
        <v>1567</v>
      </c>
      <c r="E712" s="2" t="s">
        <v>1507</v>
      </c>
      <c r="F712" s="2" t="s">
        <v>1567</v>
      </c>
    </row>
    <row r="713" spans="1:6">
      <c r="A713" s="3" t="s">
        <v>1500</v>
      </c>
      <c r="B713" s="3" t="s">
        <v>94</v>
      </c>
      <c r="C713" s="4" t="s">
        <v>1568</v>
      </c>
      <c r="D713" s="2" t="s">
        <v>1569</v>
      </c>
      <c r="E713" s="2" t="s">
        <v>1507</v>
      </c>
      <c r="F713" s="2" t="s">
        <v>1569</v>
      </c>
    </row>
    <row r="714" spans="1:6">
      <c r="A714" s="3" t="s">
        <v>1500</v>
      </c>
      <c r="B714" s="3" t="s">
        <v>94</v>
      </c>
      <c r="C714" s="4" t="s">
        <v>1570</v>
      </c>
      <c r="D714" s="2" t="s">
        <v>1571</v>
      </c>
      <c r="E714" s="2" t="s">
        <v>1507</v>
      </c>
      <c r="F714" s="2" t="s">
        <v>1571</v>
      </c>
    </row>
    <row r="715" spans="1:6">
      <c r="A715" s="3" t="s">
        <v>1500</v>
      </c>
      <c r="B715" s="3" t="s">
        <v>94</v>
      </c>
      <c r="C715" s="4" t="s">
        <v>1572</v>
      </c>
      <c r="D715" s="2" t="s">
        <v>1573</v>
      </c>
      <c r="E715" s="2" t="s">
        <v>1507</v>
      </c>
      <c r="F715" s="2" t="s">
        <v>1573</v>
      </c>
    </row>
    <row r="716" spans="1:6">
      <c r="A716" s="3" t="s">
        <v>1500</v>
      </c>
      <c r="B716" s="3" t="s">
        <v>94</v>
      </c>
      <c r="C716" s="4" t="s">
        <v>1574</v>
      </c>
      <c r="D716" s="2" t="s">
        <v>1575</v>
      </c>
      <c r="E716" s="2" t="s">
        <v>1576</v>
      </c>
      <c r="F716" s="2" t="s">
        <v>1577</v>
      </c>
    </row>
    <row r="717" spans="1:6">
      <c r="A717" s="3" t="s">
        <v>1500</v>
      </c>
      <c r="B717" s="3" t="s">
        <v>94</v>
      </c>
      <c r="C717" s="4" t="s">
        <v>1578</v>
      </c>
      <c r="D717" s="2" t="s">
        <v>1579</v>
      </c>
      <c r="E717" s="2" t="s">
        <v>1580</v>
      </c>
      <c r="F717" s="2" t="s">
        <v>1581</v>
      </c>
    </row>
    <row r="718" spans="1:6">
      <c r="A718" s="3" t="s">
        <v>1500</v>
      </c>
      <c r="B718" s="3" t="s">
        <v>94</v>
      </c>
      <c r="C718" s="4" t="s">
        <v>1582</v>
      </c>
      <c r="D718" s="2" t="s">
        <v>1583</v>
      </c>
      <c r="E718" s="2" t="s">
        <v>1584</v>
      </c>
      <c r="F718" s="2" t="s">
        <v>1585</v>
      </c>
    </row>
    <row r="719" spans="1:6">
      <c r="A719" s="3" t="s">
        <v>1500</v>
      </c>
      <c r="B719" s="3" t="s">
        <v>94</v>
      </c>
      <c r="C719" s="4" t="s">
        <v>1460</v>
      </c>
      <c r="D719" s="2" t="s">
        <v>1461</v>
      </c>
      <c r="E719" s="2" t="s">
        <v>1462</v>
      </c>
      <c r="F719" s="2" t="s">
        <v>1463</v>
      </c>
    </row>
    <row r="720" spans="1:6">
      <c r="A720" s="3" t="s">
        <v>1500</v>
      </c>
      <c r="B720" s="3" t="s">
        <v>94</v>
      </c>
      <c r="C720" s="4" t="s">
        <v>1586</v>
      </c>
      <c r="D720" s="2" t="s">
        <v>1587</v>
      </c>
      <c r="E720" s="2" t="s">
        <v>1588</v>
      </c>
      <c r="F720" s="2" t="s">
        <v>1589</v>
      </c>
    </row>
    <row r="721" spans="1:6">
      <c r="A721" s="3" t="s">
        <v>1590</v>
      </c>
      <c r="B721" s="3" t="s">
        <v>87</v>
      </c>
      <c r="C721" s="4" t="s">
        <v>116</v>
      </c>
      <c r="D721" s="2" t="s">
        <v>67</v>
      </c>
      <c r="E721" s="2" t="s">
        <v>117</v>
      </c>
      <c r="F721" s="2" t="s">
        <v>118</v>
      </c>
    </row>
    <row r="722" spans="1:6">
      <c r="A722" s="3" t="s">
        <v>1590</v>
      </c>
      <c r="B722" s="3" t="s">
        <v>87</v>
      </c>
      <c r="C722" s="4" t="s">
        <v>119</v>
      </c>
      <c r="D722" s="2" t="s">
        <v>69</v>
      </c>
      <c r="E722" s="2" t="s">
        <v>63</v>
      </c>
      <c r="F722" s="2" t="s">
        <v>120</v>
      </c>
    </row>
    <row r="723" spans="1:6">
      <c r="A723" s="3" t="s">
        <v>1590</v>
      </c>
      <c r="B723" s="3" t="s">
        <v>87</v>
      </c>
      <c r="C723" s="4" t="s">
        <v>121</v>
      </c>
      <c r="D723" s="2" t="s">
        <v>122</v>
      </c>
      <c r="E723" s="2" t="s">
        <v>123</v>
      </c>
      <c r="F723" s="2" t="s">
        <v>124</v>
      </c>
    </row>
    <row r="724" spans="1:6">
      <c r="A724" s="3" t="s">
        <v>1590</v>
      </c>
      <c r="B724" s="3" t="s">
        <v>87</v>
      </c>
      <c r="C724" s="4" t="s">
        <v>657</v>
      </c>
      <c r="D724" s="2" t="s">
        <v>658</v>
      </c>
      <c r="E724" s="2" t="s">
        <v>659</v>
      </c>
      <c r="F724" s="2" t="s">
        <v>660</v>
      </c>
    </row>
    <row r="725" spans="1:6">
      <c r="A725" s="3" t="s">
        <v>1590</v>
      </c>
      <c r="B725" s="3" t="s">
        <v>87</v>
      </c>
      <c r="C725" s="4" t="s">
        <v>129</v>
      </c>
      <c r="D725" s="2" t="s">
        <v>73</v>
      </c>
      <c r="E725" s="2" t="s">
        <v>130</v>
      </c>
      <c r="F725" s="2" t="s">
        <v>131</v>
      </c>
    </row>
    <row r="726" spans="1:6">
      <c r="A726" s="3" t="s">
        <v>1590</v>
      </c>
      <c r="B726" s="3" t="s">
        <v>87</v>
      </c>
      <c r="C726" s="4" t="s">
        <v>132</v>
      </c>
      <c r="D726" s="2" t="s">
        <v>70</v>
      </c>
      <c r="E726" s="2" t="s">
        <v>133</v>
      </c>
      <c r="F726" s="2" t="s">
        <v>134</v>
      </c>
    </row>
    <row r="727" spans="1:6">
      <c r="A727" s="3" t="s">
        <v>1590</v>
      </c>
      <c r="B727" s="3" t="s">
        <v>87</v>
      </c>
      <c r="C727" s="4" t="s">
        <v>135</v>
      </c>
      <c r="D727" s="2" t="s">
        <v>136</v>
      </c>
      <c r="E727" s="2" t="s">
        <v>137</v>
      </c>
      <c r="F727" s="2" t="s">
        <v>138</v>
      </c>
    </row>
    <row r="728" spans="1:6">
      <c r="A728" s="3" t="s">
        <v>1590</v>
      </c>
      <c r="B728" s="3" t="s">
        <v>87</v>
      </c>
      <c r="C728" s="4" t="s">
        <v>150</v>
      </c>
      <c r="D728" s="2" t="s">
        <v>151</v>
      </c>
      <c r="E728" s="2" t="s">
        <v>152</v>
      </c>
      <c r="F728" s="2" t="s">
        <v>153</v>
      </c>
    </row>
    <row r="729" spans="1:6">
      <c r="A729" s="3" t="s">
        <v>1590</v>
      </c>
      <c r="B729" s="3" t="s">
        <v>87</v>
      </c>
      <c r="C729" s="4" t="s">
        <v>1591</v>
      </c>
      <c r="D729" s="2" t="s">
        <v>1592</v>
      </c>
      <c r="E729" s="2" t="s">
        <v>1593</v>
      </c>
      <c r="F729" s="2" t="s">
        <v>1594</v>
      </c>
    </row>
    <row r="730" spans="1:6">
      <c r="A730" s="3" t="s">
        <v>1590</v>
      </c>
      <c r="B730" s="3" t="s">
        <v>87</v>
      </c>
      <c r="C730" s="4" t="s">
        <v>1595</v>
      </c>
      <c r="D730" s="2" t="s">
        <v>1596</v>
      </c>
      <c r="E730" s="2" t="s">
        <v>1597</v>
      </c>
      <c r="F730" s="2" t="s">
        <v>1598</v>
      </c>
    </row>
    <row r="731" spans="1:6">
      <c r="A731" s="3" t="s">
        <v>1590</v>
      </c>
      <c r="B731" s="3" t="s">
        <v>87</v>
      </c>
      <c r="C731" s="4" t="s">
        <v>1150</v>
      </c>
      <c r="D731" s="2" t="s">
        <v>1151</v>
      </c>
      <c r="E731" s="2" t="s">
        <v>1152</v>
      </c>
      <c r="F731" s="2" t="s">
        <v>1153</v>
      </c>
    </row>
    <row r="732" spans="1:6">
      <c r="A732" s="3" t="s">
        <v>1590</v>
      </c>
      <c r="B732" s="3" t="s">
        <v>87</v>
      </c>
      <c r="C732" s="4" t="s">
        <v>164</v>
      </c>
      <c r="D732" s="2" t="s">
        <v>60</v>
      </c>
      <c r="E732" s="2" t="s">
        <v>165</v>
      </c>
      <c r="F732" s="2" t="s">
        <v>166</v>
      </c>
    </row>
    <row r="733" spans="1:6">
      <c r="A733" s="3" t="s">
        <v>1590</v>
      </c>
      <c r="B733" s="3" t="s">
        <v>87</v>
      </c>
      <c r="C733" s="4" t="s">
        <v>167</v>
      </c>
      <c r="D733" s="2" t="s">
        <v>61</v>
      </c>
      <c r="E733" s="2" t="s">
        <v>168</v>
      </c>
      <c r="F733" s="2" t="s">
        <v>169</v>
      </c>
    </row>
    <row r="734" spans="1:6">
      <c r="A734" s="3" t="s">
        <v>1590</v>
      </c>
      <c r="B734" s="3" t="s">
        <v>87</v>
      </c>
      <c r="C734" s="4" t="s">
        <v>170</v>
      </c>
      <c r="D734" s="2" t="s">
        <v>68</v>
      </c>
      <c r="E734" s="2" t="s">
        <v>171</v>
      </c>
      <c r="F734" s="2" t="s">
        <v>172</v>
      </c>
    </row>
    <row r="735" spans="1:6">
      <c r="A735" s="3" t="s">
        <v>1590</v>
      </c>
      <c r="B735" s="3" t="s">
        <v>87</v>
      </c>
      <c r="C735" s="4" t="s">
        <v>173</v>
      </c>
      <c r="D735" s="2" t="s">
        <v>174</v>
      </c>
      <c r="E735" s="2" t="s">
        <v>175</v>
      </c>
      <c r="F735" s="2" t="s">
        <v>176</v>
      </c>
    </row>
    <row r="736" spans="1:6">
      <c r="A736" s="3" t="s">
        <v>1590</v>
      </c>
      <c r="B736" s="3" t="s">
        <v>87</v>
      </c>
      <c r="C736" s="4" t="s">
        <v>177</v>
      </c>
      <c r="D736" s="2" t="s">
        <v>178</v>
      </c>
      <c r="E736" s="2" t="s">
        <v>179</v>
      </c>
      <c r="F736" s="2" t="s">
        <v>180</v>
      </c>
    </row>
    <row r="737" spans="1:6">
      <c r="A737" s="3" t="s">
        <v>1590</v>
      </c>
      <c r="B737" s="3" t="s">
        <v>87</v>
      </c>
      <c r="C737" s="4" t="s">
        <v>181</v>
      </c>
      <c r="D737" s="2" t="s">
        <v>182</v>
      </c>
      <c r="E737" s="2" t="s">
        <v>183</v>
      </c>
      <c r="F737" s="2" t="s">
        <v>184</v>
      </c>
    </row>
    <row r="738" spans="1:6">
      <c r="A738" s="3" t="s">
        <v>1590</v>
      </c>
      <c r="B738" s="3" t="s">
        <v>87</v>
      </c>
      <c r="C738" s="4" t="s">
        <v>185</v>
      </c>
      <c r="D738" s="2" t="s">
        <v>186</v>
      </c>
      <c r="E738" s="2" t="s">
        <v>187</v>
      </c>
      <c r="F738" s="2" t="s">
        <v>188</v>
      </c>
    </row>
    <row r="739" spans="1:6">
      <c r="A739" s="3" t="s">
        <v>1590</v>
      </c>
      <c r="B739" s="3" t="s">
        <v>87</v>
      </c>
      <c r="C739" s="4" t="s">
        <v>189</v>
      </c>
      <c r="D739" s="2" t="s">
        <v>190</v>
      </c>
      <c r="E739" s="2" t="s">
        <v>191</v>
      </c>
      <c r="F739" s="2" t="s">
        <v>192</v>
      </c>
    </row>
    <row r="740" spans="1:6">
      <c r="A740" s="3" t="s">
        <v>1590</v>
      </c>
      <c r="B740" s="3" t="s">
        <v>87</v>
      </c>
      <c r="C740" s="4" t="s">
        <v>193</v>
      </c>
      <c r="D740" s="2" t="s">
        <v>194</v>
      </c>
      <c r="E740" s="2" t="s">
        <v>195</v>
      </c>
      <c r="F740" s="2" t="s">
        <v>196</v>
      </c>
    </row>
    <row r="741" spans="1:6">
      <c r="A741" s="3" t="s">
        <v>1590</v>
      </c>
      <c r="B741" s="3" t="s">
        <v>87</v>
      </c>
      <c r="C741" s="4" t="s">
        <v>220</v>
      </c>
      <c r="D741" s="2" t="s">
        <v>221</v>
      </c>
      <c r="E741" s="2" t="s">
        <v>222</v>
      </c>
      <c r="F741" s="2" t="s">
        <v>223</v>
      </c>
    </row>
    <row r="742" spans="1:6">
      <c r="A742" s="3" t="s">
        <v>1590</v>
      </c>
      <c r="B742" s="3" t="s">
        <v>87</v>
      </c>
      <c r="C742" s="4" t="s">
        <v>224</v>
      </c>
      <c r="D742" s="2" t="s">
        <v>225</v>
      </c>
      <c r="E742" s="2" t="s">
        <v>226</v>
      </c>
      <c r="F742" s="2" t="s">
        <v>227</v>
      </c>
    </row>
    <row r="743" spans="1:6">
      <c r="A743" s="3" t="s">
        <v>1590</v>
      </c>
      <c r="B743" s="3" t="s">
        <v>87</v>
      </c>
      <c r="C743" s="4" t="s">
        <v>235</v>
      </c>
      <c r="D743" s="2" t="s">
        <v>236</v>
      </c>
      <c r="E743" s="2" t="s">
        <v>237</v>
      </c>
      <c r="F743" s="2" t="s">
        <v>238</v>
      </c>
    </row>
    <row r="744" spans="1:6">
      <c r="A744" s="3" t="s">
        <v>1590</v>
      </c>
      <c r="B744" s="3" t="s">
        <v>87</v>
      </c>
      <c r="C744" s="4" t="s">
        <v>966</v>
      </c>
      <c r="D744" s="2" t="s">
        <v>967</v>
      </c>
      <c r="E744" s="2" t="s">
        <v>968</v>
      </c>
      <c r="F744" s="2" t="s">
        <v>969</v>
      </c>
    </row>
    <row r="745" spans="1:6">
      <c r="A745" s="3" t="s">
        <v>1590</v>
      </c>
      <c r="B745" s="3" t="s">
        <v>87</v>
      </c>
      <c r="C745" s="4" t="s">
        <v>354</v>
      </c>
      <c r="D745" s="2" t="s">
        <v>355</v>
      </c>
      <c r="E745" s="2" t="s">
        <v>356</v>
      </c>
      <c r="F745" s="2" t="s">
        <v>357</v>
      </c>
    </row>
    <row r="746" spans="1:6">
      <c r="A746" s="3" t="s">
        <v>1590</v>
      </c>
      <c r="B746" s="3" t="s">
        <v>87</v>
      </c>
      <c r="C746" s="4" t="s">
        <v>1599</v>
      </c>
      <c r="D746" s="2" t="s">
        <v>1600</v>
      </c>
      <c r="E746" s="2" t="s">
        <v>1601</v>
      </c>
      <c r="F746" s="2" t="s">
        <v>1602</v>
      </c>
    </row>
    <row r="747" spans="1:6">
      <c r="A747" s="3" t="s">
        <v>1590</v>
      </c>
      <c r="B747" s="3" t="s">
        <v>87</v>
      </c>
      <c r="C747" s="4" t="s">
        <v>1603</v>
      </c>
      <c r="D747" s="2" t="s">
        <v>1604</v>
      </c>
      <c r="E747" s="2" t="s">
        <v>1605</v>
      </c>
      <c r="F747" s="2" t="s">
        <v>1606</v>
      </c>
    </row>
    <row r="748" spans="1:6">
      <c r="A748" s="3" t="s">
        <v>1590</v>
      </c>
      <c r="B748" s="3" t="s">
        <v>87</v>
      </c>
      <c r="C748" s="4" t="s">
        <v>1607</v>
      </c>
      <c r="D748" s="2" t="s">
        <v>1608</v>
      </c>
      <c r="E748" s="2" t="s">
        <v>1609</v>
      </c>
      <c r="F748" s="2" t="s">
        <v>1610</v>
      </c>
    </row>
    <row r="749" spans="1:6">
      <c r="A749" s="3" t="s">
        <v>1590</v>
      </c>
      <c r="B749" s="3" t="s">
        <v>87</v>
      </c>
      <c r="C749" s="4" t="s">
        <v>1611</v>
      </c>
      <c r="D749" s="2" t="s">
        <v>1612</v>
      </c>
      <c r="E749" s="2" t="s">
        <v>1613</v>
      </c>
      <c r="F749" s="2" t="s">
        <v>1612</v>
      </c>
    </row>
    <row r="750" spans="1:6">
      <c r="A750" s="3" t="s">
        <v>1590</v>
      </c>
      <c r="B750" s="3" t="s">
        <v>87</v>
      </c>
      <c r="C750" s="4" t="s">
        <v>1614</v>
      </c>
      <c r="D750" s="2" t="s">
        <v>1615</v>
      </c>
      <c r="E750" s="2" t="s">
        <v>1616</v>
      </c>
      <c r="F750" s="2" t="s">
        <v>1617</v>
      </c>
    </row>
    <row r="751" spans="1:6">
      <c r="A751" s="3" t="s">
        <v>1590</v>
      </c>
      <c r="B751" s="3" t="s">
        <v>87</v>
      </c>
      <c r="C751" s="4" t="s">
        <v>1618</v>
      </c>
      <c r="D751" s="2" t="s">
        <v>1619</v>
      </c>
      <c r="E751" s="2" t="s">
        <v>1620</v>
      </c>
      <c r="F751" s="2" t="s">
        <v>1621</v>
      </c>
    </row>
    <row r="752" spans="1:6">
      <c r="A752" s="3" t="s">
        <v>1590</v>
      </c>
      <c r="B752" s="3" t="s">
        <v>87</v>
      </c>
      <c r="C752" s="4" t="s">
        <v>1622</v>
      </c>
      <c r="D752" s="2" t="s">
        <v>1623</v>
      </c>
      <c r="E752" s="2" t="s">
        <v>1624</v>
      </c>
      <c r="F752" s="2" t="s">
        <v>1625</v>
      </c>
    </row>
    <row r="753" spans="1:6">
      <c r="A753" s="3" t="s">
        <v>1590</v>
      </c>
      <c r="B753" s="3" t="s">
        <v>87</v>
      </c>
      <c r="C753" s="4" t="s">
        <v>1626</v>
      </c>
      <c r="D753" s="2" t="s">
        <v>1627</v>
      </c>
      <c r="E753" s="2" t="s">
        <v>1628</v>
      </c>
      <c r="F753" s="2" t="s">
        <v>1629</v>
      </c>
    </row>
    <row r="754" spans="1:6">
      <c r="A754" s="3" t="s">
        <v>1590</v>
      </c>
      <c r="B754" s="3" t="s">
        <v>87</v>
      </c>
      <c r="C754" s="4" t="s">
        <v>1630</v>
      </c>
      <c r="D754" s="2" t="s">
        <v>1631</v>
      </c>
      <c r="E754" s="2" t="s">
        <v>1632</v>
      </c>
      <c r="F754" s="2" t="s">
        <v>1633</v>
      </c>
    </row>
    <row r="755" spans="1:6">
      <c r="A755" s="3" t="s">
        <v>1590</v>
      </c>
      <c r="B755" s="3" t="s">
        <v>87</v>
      </c>
      <c r="C755" s="4" t="s">
        <v>1634</v>
      </c>
      <c r="D755" s="2" t="s">
        <v>1635</v>
      </c>
      <c r="E755" s="2" t="s">
        <v>1636</v>
      </c>
      <c r="F755" s="2" t="s">
        <v>1635</v>
      </c>
    </row>
    <row r="756" spans="1:6">
      <c r="A756" s="3" t="s">
        <v>1590</v>
      </c>
      <c r="B756" s="3" t="s">
        <v>87</v>
      </c>
      <c r="C756" s="4" t="s">
        <v>1637</v>
      </c>
      <c r="D756" s="2" t="s">
        <v>1638</v>
      </c>
      <c r="E756" s="2" t="s">
        <v>1639</v>
      </c>
      <c r="F756" s="2" t="s">
        <v>1640</v>
      </c>
    </row>
    <row r="757" spans="1:6">
      <c r="A757" s="3" t="s">
        <v>1590</v>
      </c>
      <c r="B757" s="3" t="s">
        <v>87</v>
      </c>
      <c r="C757" s="4" t="s">
        <v>1641</v>
      </c>
      <c r="D757" s="2" t="s">
        <v>1642</v>
      </c>
      <c r="E757" s="2" t="s">
        <v>1643</v>
      </c>
      <c r="F757" s="2" t="s">
        <v>1644</v>
      </c>
    </row>
    <row r="758" spans="1:6">
      <c r="A758" s="3" t="s">
        <v>1590</v>
      </c>
      <c r="B758" s="3" t="s">
        <v>87</v>
      </c>
      <c r="C758" s="4" t="s">
        <v>1645</v>
      </c>
      <c r="D758" s="2" t="s">
        <v>1110</v>
      </c>
      <c r="E758" s="2" t="s">
        <v>1646</v>
      </c>
      <c r="F758" s="2" t="s">
        <v>1647</v>
      </c>
    </row>
    <row r="759" spans="1:6">
      <c r="A759" s="3" t="s">
        <v>1648</v>
      </c>
      <c r="B759" s="3" t="s">
        <v>95</v>
      </c>
      <c r="C759" s="4" t="s">
        <v>116</v>
      </c>
      <c r="D759" s="2" t="s">
        <v>67</v>
      </c>
      <c r="E759" s="2" t="s">
        <v>117</v>
      </c>
      <c r="F759" s="2" t="s">
        <v>118</v>
      </c>
    </row>
    <row r="760" spans="1:6">
      <c r="A760" s="3" t="s">
        <v>1648</v>
      </c>
      <c r="B760" s="3" t="s">
        <v>95</v>
      </c>
      <c r="C760" s="4" t="s">
        <v>119</v>
      </c>
      <c r="D760" s="2" t="s">
        <v>69</v>
      </c>
      <c r="E760" s="2" t="s">
        <v>63</v>
      </c>
      <c r="F760" s="2" t="s">
        <v>120</v>
      </c>
    </row>
    <row r="761" spans="1:6">
      <c r="A761" s="3" t="s">
        <v>1648</v>
      </c>
      <c r="B761" s="3" t="s">
        <v>95</v>
      </c>
      <c r="C761" s="4" t="s">
        <v>129</v>
      </c>
      <c r="D761" s="2" t="s">
        <v>73</v>
      </c>
      <c r="E761" s="2" t="s">
        <v>130</v>
      </c>
      <c r="F761" s="2" t="s">
        <v>131</v>
      </c>
    </row>
    <row r="762" spans="1:6">
      <c r="A762" s="3" t="s">
        <v>1648</v>
      </c>
      <c r="B762" s="3" t="s">
        <v>95</v>
      </c>
      <c r="C762" s="4" t="s">
        <v>132</v>
      </c>
      <c r="D762" s="2" t="s">
        <v>70</v>
      </c>
      <c r="E762" s="2" t="s">
        <v>133</v>
      </c>
      <c r="F762" s="2" t="s">
        <v>134</v>
      </c>
    </row>
    <row r="763" spans="1:6">
      <c r="A763" s="3" t="s">
        <v>1648</v>
      </c>
      <c r="B763" s="3" t="s">
        <v>95</v>
      </c>
      <c r="C763" s="4" t="s">
        <v>135</v>
      </c>
      <c r="D763" s="2" t="s">
        <v>136</v>
      </c>
      <c r="E763" s="2" t="s">
        <v>137</v>
      </c>
      <c r="F763" s="2" t="s">
        <v>138</v>
      </c>
    </row>
    <row r="764" spans="1:6">
      <c r="A764" s="3" t="s">
        <v>1648</v>
      </c>
      <c r="B764" s="3" t="s">
        <v>95</v>
      </c>
      <c r="C764" s="4" t="s">
        <v>139</v>
      </c>
      <c r="D764" s="2" t="s">
        <v>139</v>
      </c>
      <c r="E764" s="2" t="s">
        <v>140</v>
      </c>
      <c r="F764" s="2" t="s">
        <v>141</v>
      </c>
    </row>
    <row r="765" spans="1:6">
      <c r="A765" s="3" t="s">
        <v>1648</v>
      </c>
      <c r="B765" s="3" t="s">
        <v>95</v>
      </c>
      <c r="C765" s="4" t="s">
        <v>142</v>
      </c>
      <c r="D765" s="2" t="s">
        <v>143</v>
      </c>
      <c r="E765" s="2" t="s">
        <v>144</v>
      </c>
      <c r="F765" s="2" t="s">
        <v>145</v>
      </c>
    </row>
    <row r="766" spans="1:6">
      <c r="A766" s="3" t="s">
        <v>1648</v>
      </c>
      <c r="B766" s="3" t="s">
        <v>95</v>
      </c>
      <c r="C766" s="4" t="s">
        <v>146</v>
      </c>
      <c r="D766" s="2" t="s">
        <v>147</v>
      </c>
      <c r="E766" s="2" t="s">
        <v>148</v>
      </c>
      <c r="F766" s="2" t="s">
        <v>149</v>
      </c>
    </row>
    <row r="767" spans="1:6">
      <c r="A767" s="3" t="s">
        <v>1648</v>
      </c>
      <c r="B767" s="3" t="s">
        <v>95</v>
      </c>
      <c r="C767" s="4" t="s">
        <v>164</v>
      </c>
      <c r="D767" s="2" t="s">
        <v>60</v>
      </c>
      <c r="E767" s="2" t="s">
        <v>165</v>
      </c>
      <c r="F767" s="2" t="s">
        <v>166</v>
      </c>
    </row>
    <row r="768" spans="1:6">
      <c r="A768" s="3" t="s">
        <v>1648</v>
      </c>
      <c r="B768" s="3" t="s">
        <v>95</v>
      </c>
      <c r="C768" s="4" t="s">
        <v>167</v>
      </c>
      <c r="D768" s="2" t="s">
        <v>61</v>
      </c>
      <c r="E768" s="2" t="s">
        <v>168</v>
      </c>
      <c r="F768" s="2" t="s">
        <v>169</v>
      </c>
    </row>
    <row r="769" spans="1:6">
      <c r="A769" s="3" t="s">
        <v>1648</v>
      </c>
      <c r="B769" s="3" t="s">
        <v>95</v>
      </c>
      <c r="C769" s="4" t="s">
        <v>170</v>
      </c>
      <c r="D769" s="2" t="s">
        <v>68</v>
      </c>
      <c r="E769" s="2" t="s">
        <v>171</v>
      </c>
      <c r="F769" s="2" t="s">
        <v>172</v>
      </c>
    </row>
    <row r="770" spans="1:6">
      <c r="A770" s="3" t="s">
        <v>1648</v>
      </c>
      <c r="B770" s="3" t="s">
        <v>95</v>
      </c>
      <c r="C770" s="4" t="s">
        <v>173</v>
      </c>
      <c r="D770" s="2" t="s">
        <v>174</v>
      </c>
      <c r="E770" s="2" t="s">
        <v>175</v>
      </c>
      <c r="F770" s="2" t="s">
        <v>176</v>
      </c>
    </row>
    <row r="771" spans="1:6">
      <c r="A771" s="3" t="s">
        <v>1648</v>
      </c>
      <c r="B771" s="3" t="s">
        <v>95</v>
      </c>
      <c r="C771" s="4" t="s">
        <v>797</v>
      </c>
      <c r="D771" s="2" t="s">
        <v>798</v>
      </c>
      <c r="E771" s="2" t="s">
        <v>799</v>
      </c>
      <c r="F771" s="2" t="s">
        <v>798</v>
      </c>
    </row>
    <row r="772" spans="1:6">
      <c r="A772" s="3" t="s">
        <v>1648</v>
      </c>
      <c r="B772" s="3" t="s">
        <v>95</v>
      </c>
      <c r="C772" s="4" t="s">
        <v>177</v>
      </c>
      <c r="D772" s="2" t="s">
        <v>178</v>
      </c>
      <c r="E772" s="2" t="s">
        <v>179</v>
      </c>
      <c r="F772" s="2" t="s">
        <v>180</v>
      </c>
    </row>
    <row r="773" spans="1:6">
      <c r="A773" s="3" t="s">
        <v>1648</v>
      </c>
      <c r="B773" s="3" t="s">
        <v>95</v>
      </c>
      <c r="C773" s="4" t="s">
        <v>181</v>
      </c>
      <c r="D773" s="2" t="s">
        <v>182</v>
      </c>
      <c r="E773" s="2" t="s">
        <v>183</v>
      </c>
      <c r="F773" s="2" t="s">
        <v>184</v>
      </c>
    </row>
    <row r="774" spans="1:6">
      <c r="A774" s="3" t="s">
        <v>1648</v>
      </c>
      <c r="B774" s="3" t="s">
        <v>95</v>
      </c>
      <c r="C774" s="4" t="s">
        <v>800</v>
      </c>
      <c r="D774" s="2" t="s">
        <v>71</v>
      </c>
      <c r="E774" s="2" t="s">
        <v>801</v>
      </c>
      <c r="F774" s="2" t="s">
        <v>802</v>
      </c>
    </row>
    <row r="775" spans="1:6">
      <c r="A775" s="3" t="s">
        <v>1648</v>
      </c>
      <c r="B775" s="3" t="s">
        <v>95</v>
      </c>
      <c r="C775" s="4" t="s">
        <v>803</v>
      </c>
      <c r="D775" s="2" t="s">
        <v>804</v>
      </c>
      <c r="E775" s="2" t="s">
        <v>805</v>
      </c>
      <c r="F775" s="2" t="s">
        <v>806</v>
      </c>
    </row>
    <row r="776" spans="1:6">
      <c r="A776" s="3" t="s">
        <v>1648</v>
      </c>
      <c r="B776" s="3" t="s">
        <v>95</v>
      </c>
      <c r="C776" s="4" t="s">
        <v>1649</v>
      </c>
      <c r="D776" s="2" t="s">
        <v>1650</v>
      </c>
      <c r="E776" s="2" t="s">
        <v>1651</v>
      </c>
      <c r="F776" s="2" t="s">
        <v>1650</v>
      </c>
    </row>
    <row r="777" spans="1:6">
      <c r="A777" s="3" t="s">
        <v>1648</v>
      </c>
      <c r="B777" s="3" t="s">
        <v>95</v>
      </c>
      <c r="C777" s="4" t="s">
        <v>185</v>
      </c>
      <c r="D777" s="2" t="s">
        <v>186</v>
      </c>
      <c r="E777" s="2" t="s">
        <v>187</v>
      </c>
      <c r="F777" s="2" t="s">
        <v>188</v>
      </c>
    </row>
    <row r="778" spans="1:6">
      <c r="A778" s="3" t="s">
        <v>1648</v>
      </c>
      <c r="B778" s="3" t="s">
        <v>95</v>
      </c>
      <c r="C778" s="4" t="s">
        <v>1652</v>
      </c>
      <c r="D778" s="2" t="s">
        <v>1653</v>
      </c>
      <c r="E778" s="2" t="s">
        <v>1654</v>
      </c>
      <c r="F778" s="2" t="s">
        <v>1655</v>
      </c>
    </row>
    <row r="779" spans="1:6">
      <c r="A779" s="3" t="s">
        <v>1648</v>
      </c>
      <c r="B779" s="3" t="s">
        <v>95</v>
      </c>
      <c r="C779" s="4" t="s">
        <v>1656</v>
      </c>
      <c r="D779" s="2" t="s">
        <v>1657</v>
      </c>
      <c r="E779" s="2" t="s">
        <v>1658</v>
      </c>
      <c r="F779" s="2" t="s">
        <v>1659</v>
      </c>
    </row>
    <row r="780" spans="1:6">
      <c r="A780" s="3" t="s">
        <v>1648</v>
      </c>
      <c r="B780" s="3" t="s">
        <v>95</v>
      </c>
      <c r="C780" s="4" t="s">
        <v>189</v>
      </c>
      <c r="D780" s="2" t="s">
        <v>190</v>
      </c>
      <c r="E780" s="2" t="s">
        <v>191</v>
      </c>
      <c r="F780" s="2" t="s">
        <v>192</v>
      </c>
    </row>
    <row r="781" spans="1:6">
      <c r="A781" s="3" t="s">
        <v>1648</v>
      </c>
      <c r="B781" s="3" t="s">
        <v>95</v>
      </c>
      <c r="C781" s="4" t="s">
        <v>1660</v>
      </c>
      <c r="D781" s="2" t="s">
        <v>1661</v>
      </c>
      <c r="E781" s="2" t="s">
        <v>1662</v>
      </c>
      <c r="F781" s="2" t="s">
        <v>1663</v>
      </c>
    </row>
    <row r="782" spans="1:6">
      <c r="A782" s="3" t="s">
        <v>1648</v>
      </c>
      <c r="B782" s="3" t="s">
        <v>95</v>
      </c>
      <c r="C782" s="4" t="s">
        <v>1664</v>
      </c>
      <c r="D782" s="2" t="s">
        <v>1665</v>
      </c>
      <c r="E782" s="2" t="s">
        <v>1666</v>
      </c>
      <c r="F782" s="2" t="s">
        <v>1667</v>
      </c>
    </row>
    <row r="783" spans="1:6">
      <c r="A783" s="3" t="s">
        <v>1648</v>
      </c>
      <c r="B783" s="3" t="s">
        <v>95</v>
      </c>
      <c r="C783" s="4" t="s">
        <v>1668</v>
      </c>
      <c r="D783" s="2" t="s">
        <v>1669</v>
      </c>
      <c r="E783" s="2" t="s">
        <v>1670</v>
      </c>
      <c r="F783" s="2" t="s">
        <v>1671</v>
      </c>
    </row>
    <row r="784" spans="1:6">
      <c r="A784" s="3" t="s">
        <v>1648</v>
      </c>
      <c r="B784" s="3" t="s">
        <v>95</v>
      </c>
      <c r="C784" s="4" t="s">
        <v>1672</v>
      </c>
      <c r="D784" s="2" t="s">
        <v>1673</v>
      </c>
      <c r="E784" s="2" t="s">
        <v>1674</v>
      </c>
      <c r="F784" s="2" t="s">
        <v>1675</v>
      </c>
    </row>
    <row r="785" spans="1:6">
      <c r="A785" s="3" t="s">
        <v>1648</v>
      </c>
      <c r="B785" s="3" t="s">
        <v>95</v>
      </c>
      <c r="C785" s="4" t="s">
        <v>197</v>
      </c>
      <c r="D785" s="2" t="s">
        <v>198</v>
      </c>
      <c r="E785" s="2" t="s">
        <v>199</v>
      </c>
      <c r="F785" s="2" t="s">
        <v>200</v>
      </c>
    </row>
    <row r="786" spans="1:6">
      <c r="A786" s="3" t="s">
        <v>1648</v>
      </c>
      <c r="B786" s="3" t="s">
        <v>95</v>
      </c>
      <c r="C786" s="4" t="s">
        <v>1676</v>
      </c>
      <c r="D786" s="2" t="s">
        <v>1677</v>
      </c>
      <c r="E786" s="2" t="s">
        <v>1678</v>
      </c>
      <c r="F786" s="2" t="s">
        <v>1679</v>
      </c>
    </row>
    <row r="787" spans="1:6">
      <c r="A787" s="3" t="s">
        <v>1648</v>
      </c>
      <c r="B787" s="3" t="s">
        <v>95</v>
      </c>
      <c r="C787" s="4" t="s">
        <v>1680</v>
      </c>
      <c r="D787" s="2" t="s">
        <v>1681</v>
      </c>
      <c r="E787" s="2" t="s">
        <v>1682</v>
      </c>
      <c r="F787" s="2" t="s">
        <v>1683</v>
      </c>
    </row>
    <row r="788" spans="1:6">
      <c r="A788" s="3" t="s">
        <v>1648</v>
      </c>
      <c r="B788" s="3" t="s">
        <v>95</v>
      </c>
      <c r="C788" s="4" t="s">
        <v>1684</v>
      </c>
      <c r="D788" s="2" t="s">
        <v>1685</v>
      </c>
      <c r="E788" s="2" t="s">
        <v>1686</v>
      </c>
      <c r="F788" s="2" t="s">
        <v>1687</v>
      </c>
    </row>
    <row r="789" spans="1:6">
      <c r="A789" s="3" t="s">
        <v>1648</v>
      </c>
      <c r="B789" s="3" t="s">
        <v>95</v>
      </c>
      <c r="C789" s="4" t="s">
        <v>1688</v>
      </c>
      <c r="D789" s="2" t="s">
        <v>1689</v>
      </c>
      <c r="E789" s="2" t="s">
        <v>1690</v>
      </c>
      <c r="F789" s="2" t="s">
        <v>1691</v>
      </c>
    </row>
    <row r="790" spans="1:6">
      <c r="A790" s="3" t="s">
        <v>1648</v>
      </c>
      <c r="B790" s="3" t="s">
        <v>95</v>
      </c>
      <c r="C790" s="4" t="s">
        <v>1692</v>
      </c>
      <c r="D790" s="2" t="s">
        <v>1693</v>
      </c>
      <c r="E790" s="2" t="s">
        <v>1694</v>
      </c>
      <c r="F790" s="2" t="s">
        <v>1695</v>
      </c>
    </row>
    <row r="791" spans="1:6">
      <c r="A791" s="3" t="s">
        <v>1648</v>
      </c>
      <c r="B791" s="3" t="s">
        <v>95</v>
      </c>
      <c r="C791" s="4" t="s">
        <v>1696</v>
      </c>
      <c r="D791" s="2" t="s">
        <v>1697</v>
      </c>
      <c r="E791" s="2" t="s">
        <v>1698</v>
      </c>
      <c r="F791" s="2" t="s">
        <v>1699</v>
      </c>
    </row>
    <row r="792" spans="1:6">
      <c r="A792" s="3" t="s">
        <v>1648</v>
      </c>
      <c r="B792" s="3" t="s">
        <v>95</v>
      </c>
      <c r="C792" s="4" t="s">
        <v>1700</v>
      </c>
      <c r="D792" s="2" t="s">
        <v>1701</v>
      </c>
      <c r="E792" s="2" t="s">
        <v>1702</v>
      </c>
      <c r="F792" s="2" t="s">
        <v>1703</v>
      </c>
    </row>
    <row r="793" spans="1:6">
      <c r="A793" s="3" t="s">
        <v>1648</v>
      </c>
      <c r="B793" s="3" t="s">
        <v>95</v>
      </c>
      <c r="C793" s="4" t="s">
        <v>1704</v>
      </c>
      <c r="D793" s="2" t="s">
        <v>1705</v>
      </c>
      <c r="E793" s="2" t="s">
        <v>1706</v>
      </c>
      <c r="F793" s="2" t="s">
        <v>1707</v>
      </c>
    </row>
    <row r="794" spans="1:6">
      <c r="A794" s="3" t="s">
        <v>1648</v>
      </c>
      <c r="B794" s="3" t="s">
        <v>95</v>
      </c>
      <c r="C794" s="4" t="s">
        <v>1708</v>
      </c>
      <c r="D794" s="2" t="s">
        <v>1709</v>
      </c>
      <c r="E794" s="2" t="s">
        <v>1710</v>
      </c>
      <c r="F794" s="2" t="s">
        <v>1711</v>
      </c>
    </row>
    <row r="795" spans="1:6">
      <c r="A795" s="3" t="s">
        <v>1648</v>
      </c>
      <c r="B795" s="3" t="s">
        <v>95</v>
      </c>
      <c r="C795" s="4" t="s">
        <v>1712</v>
      </c>
      <c r="D795" s="2" t="s">
        <v>1713</v>
      </c>
      <c r="E795" s="2" t="s">
        <v>1714</v>
      </c>
      <c r="F795" s="2" t="s">
        <v>1715</v>
      </c>
    </row>
    <row r="796" spans="1:6">
      <c r="A796" s="3" t="s">
        <v>1648</v>
      </c>
      <c r="B796" s="3" t="s">
        <v>95</v>
      </c>
      <c r="C796" s="4" t="s">
        <v>1716</v>
      </c>
      <c r="D796" s="2" t="s">
        <v>1717</v>
      </c>
      <c r="E796" s="2" t="s">
        <v>1718</v>
      </c>
      <c r="F796" s="2" t="s">
        <v>1719</v>
      </c>
    </row>
    <row r="797" spans="1:6">
      <c r="A797" s="3" t="s">
        <v>1648</v>
      </c>
      <c r="B797" s="3" t="s">
        <v>95</v>
      </c>
      <c r="C797" s="4" t="s">
        <v>1720</v>
      </c>
      <c r="D797" s="2" t="s">
        <v>1721</v>
      </c>
      <c r="E797" s="2" t="s">
        <v>1722</v>
      </c>
      <c r="F797" s="2" t="s">
        <v>1723</v>
      </c>
    </row>
    <row r="798" spans="1:6">
      <c r="A798" s="3" t="s">
        <v>1648</v>
      </c>
      <c r="B798" s="3" t="s">
        <v>95</v>
      </c>
      <c r="C798" s="4" t="s">
        <v>1724</v>
      </c>
      <c r="D798" s="2" t="s">
        <v>1725</v>
      </c>
      <c r="E798" s="2" t="s">
        <v>1726</v>
      </c>
      <c r="F798" s="2" t="s">
        <v>1727</v>
      </c>
    </row>
    <row r="799" spans="1:6">
      <c r="A799" s="3" t="s">
        <v>1648</v>
      </c>
      <c r="B799" s="3" t="s">
        <v>95</v>
      </c>
      <c r="C799" s="4" t="s">
        <v>1728</v>
      </c>
      <c r="D799" s="2" t="s">
        <v>1729</v>
      </c>
      <c r="E799" s="2" t="s">
        <v>1730</v>
      </c>
      <c r="F799" s="2" t="s">
        <v>1731</v>
      </c>
    </row>
    <row r="800" spans="1:6">
      <c r="A800" s="3" t="s">
        <v>1648</v>
      </c>
      <c r="B800" s="3" t="s">
        <v>95</v>
      </c>
      <c r="C800" s="4" t="s">
        <v>1732</v>
      </c>
      <c r="D800" s="2" t="s">
        <v>1733</v>
      </c>
      <c r="E800" s="2" t="s">
        <v>1734</v>
      </c>
      <c r="F800" s="2" t="s">
        <v>1735</v>
      </c>
    </row>
    <row r="801" spans="1:6">
      <c r="A801" s="3" t="s">
        <v>1648</v>
      </c>
      <c r="B801" s="3" t="s">
        <v>95</v>
      </c>
      <c r="C801" s="4" t="s">
        <v>1736</v>
      </c>
      <c r="D801" s="2" t="s">
        <v>1737</v>
      </c>
      <c r="E801" s="2" t="s">
        <v>1738</v>
      </c>
      <c r="F801" s="2" t="s">
        <v>1739</v>
      </c>
    </row>
    <row r="802" spans="1:6">
      <c r="A802" s="3" t="s">
        <v>1648</v>
      </c>
      <c r="B802" s="3" t="s">
        <v>95</v>
      </c>
      <c r="C802" s="4" t="s">
        <v>1740</v>
      </c>
      <c r="D802" s="2" t="s">
        <v>1741</v>
      </c>
      <c r="E802" s="2" t="s">
        <v>1742</v>
      </c>
      <c r="F802" s="2" t="s">
        <v>1743</v>
      </c>
    </row>
    <row r="803" spans="1:6">
      <c r="A803" s="3" t="s">
        <v>1648</v>
      </c>
      <c r="B803" s="3" t="s">
        <v>95</v>
      </c>
      <c r="C803" s="4" t="s">
        <v>1744</v>
      </c>
      <c r="D803" s="2" t="s">
        <v>1745</v>
      </c>
      <c r="E803" s="2" t="s">
        <v>1746</v>
      </c>
      <c r="F803" s="2" t="s">
        <v>1747</v>
      </c>
    </row>
    <row r="804" spans="1:6">
      <c r="A804" s="3" t="s">
        <v>1648</v>
      </c>
      <c r="B804" s="3" t="s">
        <v>95</v>
      </c>
      <c r="C804" s="4" t="s">
        <v>1748</v>
      </c>
      <c r="D804" s="2" t="s">
        <v>1749</v>
      </c>
      <c r="E804" s="2" t="s">
        <v>1750</v>
      </c>
      <c r="F804" s="2" t="s">
        <v>1751</v>
      </c>
    </row>
    <row r="805" spans="1:6">
      <c r="A805" s="3" t="s">
        <v>1648</v>
      </c>
      <c r="B805" s="3" t="s">
        <v>95</v>
      </c>
      <c r="C805" s="4" t="s">
        <v>1752</v>
      </c>
      <c r="D805" s="2" t="s">
        <v>1753</v>
      </c>
      <c r="E805" s="2" t="s">
        <v>1754</v>
      </c>
      <c r="F805" s="2" t="s">
        <v>1755</v>
      </c>
    </row>
    <row r="806" spans="1:6">
      <c r="A806" s="3" t="s">
        <v>1648</v>
      </c>
      <c r="B806" s="3" t="s">
        <v>95</v>
      </c>
      <c r="C806" s="4" t="s">
        <v>1756</v>
      </c>
      <c r="D806" s="2" t="s">
        <v>1757</v>
      </c>
      <c r="E806" s="2" t="s">
        <v>1758</v>
      </c>
      <c r="F806" s="2" t="s">
        <v>1759</v>
      </c>
    </row>
    <row r="807" spans="1:6">
      <c r="A807" s="3" t="s">
        <v>1648</v>
      </c>
      <c r="B807" s="3" t="s">
        <v>95</v>
      </c>
      <c r="C807" s="4" t="s">
        <v>1760</v>
      </c>
      <c r="D807" s="2" t="s">
        <v>1761</v>
      </c>
      <c r="E807" s="2" t="s">
        <v>1762</v>
      </c>
      <c r="F807" s="2" t="s">
        <v>1763</v>
      </c>
    </row>
    <row r="808" spans="1:6">
      <c r="A808" s="3" t="s">
        <v>1648</v>
      </c>
      <c r="B808" s="3" t="s">
        <v>95</v>
      </c>
      <c r="C808" s="4" t="s">
        <v>1764</v>
      </c>
      <c r="D808" s="2" t="s">
        <v>1765</v>
      </c>
      <c r="E808" s="2" t="s">
        <v>1766</v>
      </c>
      <c r="F808" s="2" t="s">
        <v>1767</v>
      </c>
    </row>
    <row r="809" spans="1:6">
      <c r="A809" s="3" t="s">
        <v>1648</v>
      </c>
      <c r="B809" s="3" t="s">
        <v>95</v>
      </c>
      <c r="C809" s="4" t="s">
        <v>1768</v>
      </c>
      <c r="D809" s="2" t="s">
        <v>1769</v>
      </c>
      <c r="E809" s="2" t="s">
        <v>1770</v>
      </c>
      <c r="F809" s="2" t="s">
        <v>1771</v>
      </c>
    </row>
    <row r="810" spans="1:6">
      <c r="A810" s="3" t="s">
        <v>1648</v>
      </c>
      <c r="B810" s="3" t="s">
        <v>95</v>
      </c>
      <c r="C810" s="4" t="s">
        <v>1772</v>
      </c>
      <c r="D810" s="2" t="s">
        <v>1773</v>
      </c>
      <c r="E810" s="2" t="s">
        <v>1774</v>
      </c>
      <c r="F810" s="2" t="s">
        <v>1775</v>
      </c>
    </row>
    <row r="811" spans="1:6">
      <c r="A811" s="3" t="s">
        <v>1648</v>
      </c>
      <c r="B811" s="3" t="s">
        <v>95</v>
      </c>
      <c r="C811" s="4" t="s">
        <v>1776</v>
      </c>
      <c r="D811" s="2" t="s">
        <v>1777</v>
      </c>
      <c r="E811" s="2" t="s">
        <v>1778</v>
      </c>
      <c r="F811" s="2" t="s">
        <v>1779</v>
      </c>
    </row>
    <row r="812" spans="1:6">
      <c r="A812" s="3" t="s">
        <v>1648</v>
      </c>
      <c r="B812" s="3" t="s">
        <v>95</v>
      </c>
      <c r="C812" s="4" t="s">
        <v>1780</v>
      </c>
      <c r="D812" s="2" t="s">
        <v>1781</v>
      </c>
      <c r="E812" s="2" t="s">
        <v>1782</v>
      </c>
      <c r="F812" s="2" t="s">
        <v>1783</v>
      </c>
    </row>
    <row r="813" spans="1:6">
      <c r="A813" s="3" t="s">
        <v>1648</v>
      </c>
      <c r="B813" s="3" t="s">
        <v>95</v>
      </c>
      <c r="C813" s="4" t="s">
        <v>1784</v>
      </c>
      <c r="D813" s="2" t="s">
        <v>1785</v>
      </c>
      <c r="E813" s="2" t="s">
        <v>1786</v>
      </c>
      <c r="F813" s="2" t="s">
        <v>1787</v>
      </c>
    </row>
    <row r="814" spans="1:6">
      <c r="A814" s="3" t="s">
        <v>1648</v>
      </c>
      <c r="B814" s="3" t="s">
        <v>95</v>
      </c>
      <c r="C814" s="4" t="s">
        <v>1788</v>
      </c>
      <c r="D814" s="2" t="s">
        <v>1789</v>
      </c>
      <c r="E814" s="2" t="s">
        <v>1790</v>
      </c>
      <c r="F814" s="2" t="s">
        <v>1791</v>
      </c>
    </row>
    <row r="815" spans="1:6">
      <c r="A815" s="3" t="s">
        <v>1648</v>
      </c>
      <c r="B815" s="3" t="s">
        <v>95</v>
      </c>
      <c r="C815" s="4" t="s">
        <v>1792</v>
      </c>
      <c r="D815" s="2" t="s">
        <v>1793</v>
      </c>
      <c r="E815" s="2" t="s">
        <v>1794</v>
      </c>
      <c r="F815" s="2" t="s">
        <v>1795</v>
      </c>
    </row>
    <row r="816" spans="1:6">
      <c r="A816" s="3" t="s">
        <v>1648</v>
      </c>
      <c r="B816" s="3" t="s">
        <v>95</v>
      </c>
      <c r="C816" s="4" t="s">
        <v>1796</v>
      </c>
      <c r="D816" s="2" t="s">
        <v>1797</v>
      </c>
      <c r="E816" s="2" t="s">
        <v>1798</v>
      </c>
      <c r="F816" s="2" t="s">
        <v>1799</v>
      </c>
    </row>
    <row r="817" spans="1:6">
      <c r="A817" s="3" t="s">
        <v>1648</v>
      </c>
      <c r="B817" s="3" t="s">
        <v>95</v>
      </c>
      <c r="C817" s="4" t="s">
        <v>1800</v>
      </c>
      <c r="D817" s="2" t="s">
        <v>1801</v>
      </c>
      <c r="E817" s="2" t="s">
        <v>1802</v>
      </c>
      <c r="F817" s="2" t="s">
        <v>1803</v>
      </c>
    </row>
    <row r="818" spans="1:6">
      <c r="A818" s="3" t="s">
        <v>1648</v>
      </c>
      <c r="B818" s="3" t="s">
        <v>95</v>
      </c>
      <c r="C818" s="4" t="s">
        <v>1804</v>
      </c>
      <c r="D818" s="2" t="s">
        <v>1805</v>
      </c>
      <c r="E818" s="2" t="s">
        <v>1806</v>
      </c>
      <c r="F818" s="2" t="s">
        <v>1807</v>
      </c>
    </row>
    <row r="819" spans="1:6">
      <c r="A819" s="3" t="s">
        <v>1648</v>
      </c>
      <c r="B819" s="3" t="s">
        <v>95</v>
      </c>
      <c r="C819" s="4" t="s">
        <v>1808</v>
      </c>
      <c r="D819" s="2" t="s">
        <v>1809</v>
      </c>
      <c r="E819" s="2" t="s">
        <v>1810</v>
      </c>
      <c r="F819" s="2" t="s">
        <v>1811</v>
      </c>
    </row>
    <row r="820" spans="1:6">
      <c r="A820" s="3" t="s">
        <v>1648</v>
      </c>
      <c r="B820" s="3" t="s">
        <v>95</v>
      </c>
      <c r="C820" s="4" t="s">
        <v>1812</v>
      </c>
      <c r="D820" s="2" t="s">
        <v>1813</v>
      </c>
      <c r="E820" s="2" t="s">
        <v>1814</v>
      </c>
      <c r="F820" s="2" t="s">
        <v>1815</v>
      </c>
    </row>
    <row r="821" spans="1:6">
      <c r="A821" s="3" t="s">
        <v>1648</v>
      </c>
      <c r="B821" s="3" t="s">
        <v>95</v>
      </c>
      <c r="C821" s="4" t="s">
        <v>1816</v>
      </c>
      <c r="D821" s="2" t="s">
        <v>1817</v>
      </c>
      <c r="E821" s="2" t="s">
        <v>1818</v>
      </c>
      <c r="F821" s="2" t="s">
        <v>1819</v>
      </c>
    </row>
    <row r="822" spans="1:6">
      <c r="A822" s="3" t="s">
        <v>1648</v>
      </c>
      <c r="B822" s="3" t="s">
        <v>95</v>
      </c>
      <c r="C822" s="4" t="s">
        <v>1820</v>
      </c>
      <c r="D822" s="2" t="s">
        <v>1821</v>
      </c>
      <c r="E822" s="2" t="s">
        <v>1822</v>
      </c>
      <c r="F822" s="2" t="s">
        <v>1823</v>
      </c>
    </row>
    <row r="823" spans="1:6">
      <c r="A823" s="3" t="s">
        <v>1648</v>
      </c>
      <c r="B823" s="3" t="s">
        <v>95</v>
      </c>
      <c r="C823" s="4" t="s">
        <v>1824</v>
      </c>
      <c r="D823" s="2" t="s">
        <v>1825</v>
      </c>
      <c r="E823" s="2" t="s">
        <v>1826</v>
      </c>
      <c r="F823" s="2" t="s">
        <v>1827</v>
      </c>
    </row>
    <row r="824" spans="1:6">
      <c r="A824" s="3" t="s">
        <v>1828</v>
      </c>
      <c r="B824" s="3" t="s">
        <v>96</v>
      </c>
      <c r="C824" s="4" t="s">
        <v>116</v>
      </c>
      <c r="D824" s="2" t="s">
        <v>67</v>
      </c>
      <c r="E824" s="2" t="s">
        <v>117</v>
      </c>
      <c r="F824" s="2" t="s">
        <v>118</v>
      </c>
    </row>
    <row r="825" spans="1:6">
      <c r="A825" s="3" t="s">
        <v>1828</v>
      </c>
      <c r="B825" s="3" t="s">
        <v>96</v>
      </c>
      <c r="C825" s="4" t="s">
        <v>119</v>
      </c>
      <c r="D825" s="2" t="s">
        <v>69</v>
      </c>
      <c r="E825" s="2" t="s">
        <v>63</v>
      </c>
      <c r="F825" s="2" t="s">
        <v>120</v>
      </c>
    </row>
    <row r="826" spans="1:6">
      <c r="A826" s="3" t="s">
        <v>1828</v>
      </c>
      <c r="B826" s="3" t="s">
        <v>96</v>
      </c>
      <c r="C826" s="4" t="s">
        <v>129</v>
      </c>
      <c r="D826" s="2" t="s">
        <v>73</v>
      </c>
      <c r="E826" s="2" t="s">
        <v>130</v>
      </c>
      <c r="F826" s="2" t="s">
        <v>131</v>
      </c>
    </row>
    <row r="827" spans="1:6">
      <c r="A827" s="3" t="s">
        <v>1828</v>
      </c>
      <c r="B827" s="3" t="s">
        <v>96</v>
      </c>
      <c r="C827" s="4" t="s">
        <v>132</v>
      </c>
      <c r="D827" s="2" t="s">
        <v>70</v>
      </c>
      <c r="E827" s="2" t="s">
        <v>133</v>
      </c>
      <c r="F827" s="2" t="s">
        <v>134</v>
      </c>
    </row>
    <row r="828" spans="1:6">
      <c r="A828" s="3" t="s">
        <v>1828</v>
      </c>
      <c r="B828" s="3" t="s">
        <v>96</v>
      </c>
      <c r="C828" s="4" t="s">
        <v>135</v>
      </c>
      <c r="D828" s="2" t="s">
        <v>136</v>
      </c>
      <c r="E828" s="2" t="s">
        <v>137</v>
      </c>
      <c r="F828" s="2" t="s">
        <v>138</v>
      </c>
    </row>
    <row r="829" spans="1:6">
      <c r="A829" s="3" t="s">
        <v>1828</v>
      </c>
      <c r="B829" s="3" t="s">
        <v>96</v>
      </c>
      <c r="C829" s="4" t="s">
        <v>139</v>
      </c>
      <c r="D829" s="2" t="s">
        <v>139</v>
      </c>
      <c r="E829" s="2" t="s">
        <v>140</v>
      </c>
      <c r="F829" s="2" t="s">
        <v>141</v>
      </c>
    </row>
    <row r="830" spans="1:6">
      <c r="A830" s="3" t="s">
        <v>1828</v>
      </c>
      <c r="B830" s="3" t="s">
        <v>96</v>
      </c>
      <c r="C830" s="4" t="s">
        <v>142</v>
      </c>
      <c r="D830" s="2" t="s">
        <v>143</v>
      </c>
      <c r="E830" s="2" t="s">
        <v>144</v>
      </c>
      <c r="F830" s="2" t="s">
        <v>145</v>
      </c>
    </row>
    <row r="831" spans="1:6">
      <c r="A831" s="3" t="s">
        <v>1828</v>
      </c>
      <c r="B831" s="3" t="s">
        <v>96</v>
      </c>
      <c r="C831" s="4" t="s">
        <v>146</v>
      </c>
      <c r="D831" s="2" t="s">
        <v>147</v>
      </c>
      <c r="E831" s="2" t="s">
        <v>148</v>
      </c>
      <c r="F831" s="2" t="s">
        <v>149</v>
      </c>
    </row>
    <row r="832" spans="1:6">
      <c r="A832" s="3" t="s">
        <v>1828</v>
      </c>
      <c r="B832" s="3" t="s">
        <v>96</v>
      </c>
      <c r="C832" s="4" t="s">
        <v>741</v>
      </c>
      <c r="D832" s="2" t="s">
        <v>742</v>
      </c>
      <c r="E832" s="2" t="s">
        <v>743</v>
      </c>
      <c r="F832" s="2" t="s">
        <v>744</v>
      </c>
    </row>
    <row r="833" spans="1:6">
      <c r="A833" s="3" t="s">
        <v>1828</v>
      </c>
      <c r="B833" s="3" t="s">
        <v>96</v>
      </c>
      <c r="C833" s="4" t="s">
        <v>745</v>
      </c>
      <c r="D833" s="2" t="s">
        <v>746</v>
      </c>
      <c r="E833" s="2" t="s">
        <v>747</v>
      </c>
      <c r="F833" s="2" t="s">
        <v>748</v>
      </c>
    </row>
    <row r="834" spans="1:6">
      <c r="A834" s="3" t="s">
        <v>1828</v>
      </c>
      <c r="B834" s="3" t="s">
        <v>96</v>
      </c>
      <c r="C834" s="4" t="s">
        <v>1829</v>
      </c>
      <c r="D834" s="2" t="s">
        <v>1830</v>
      </c>
      <c r="E834" s="2" t="s">
        <v>1831</v>
      </c>
      <c r="F834" s="2" t="s">
        <v>1832</v>
      </c>
    </row>
    <row r="835" spans="1:6">
      <c r="A835" s="3" t="s">
        <v>1828</v>
      </c>
      <c r="B835" s="3" t="s">
        <v>96</v>
      </c>
      <c r="C835" s="4" t="s">
        <v>164</v>
      </c>
      <c r="D835" s="2" t="s">
        <v>60</v>
      </c>
      <c r="E835" s="2" t="s">
        <v>165</v>
      </c>
      <c r="F835" s="2" t="s">
        <v>166</v>
      </c>
    </row>
    <row r="836" spans="1:6">
      <c r="A836" s="3" t="s">
        <v>1828</v>
      </c>
      <c r="B836" s="3" t="s">
        <v>96</v>
      </c>
      <c r="C836" s="4" t="s">
        <v>167</v>
      </c>
      <c r="D836" s="2" t="s">
        <v>61</v>
      </c>
      <c r="E836" s="2" t="s">
        <v>168</v>
      </c>
      <c r="F836" s="2" t="s">
        <v>169</v>
      </c>
    </row>
    <row r="837" spans="1:6">
      <c r="A837" s="3" t="s">
        <v>1828</v>
      </c>
      <c r="B837" s="3" t="s">
        <v>96</v>
      </c>
      <c r="C837" s="4" t="s">
        <v>170</v>
      </c>
      <c r="D837" s="2" t="s">
        <v>68</v>
      </c>
      <c r="E837" s="2" t="s">
        <v>171</v>
      </c>
      <c r="F837" s="2" t="s">
        <v>172</v>
      </c>
    </row>
    <row r="838" spans="1:6">
      <c r="A838" s="3" t="s">
        <v>1828</v>
      </c>
      <c r="B838" s="3" t="s">
        <v>96</v>
      </c>
      <c r="C838" s="4" t="s">
        <v>797</v>
      </c>
      <c r="D838" s="2" t="s">
        <v>798</v>
      </c>
      <c r="E838" s="2" t="s">
        <v>799</v>
      </c>
      <c r="F838" s="2" t="s">
        <v>798</v>
      </c>
    </row>
    <row r="839" spans="1:6">
      <c r="A839" s="3" t="s">
        <v>1828</v>
      </c>
      <c r="B839" s="3" t="s">
        <v>96</v>
      </c>
      <c r="C839" s="4" t="s">
        <v>800</v>
      </c>
      <c r="D839" s="2" t="s">
        <v>71</v>
      </c>
      <c r="E839" s="2" t="s">
        <v>801</v>
      </c>
      <c r="F839" s="2" t="s">
        <v>802</v>
      </c>
    </row>
    <row r="840" spans="1:6">
      <c r="A840" s="3" t="s">
        <v>1828</v>
      </c>
      <c r="B840" s="3" t="s">
        <v>96</v>
      </c>
      <c r="C840" s="4" t="s">
        <v>803</v>
      </c>
      <c r="D840" s="2" t="s">
        <v>804</v>
      </c>
      <c r="E840" s="2" t="s">
        <v>805</v>
      </c>
      <c r="F840" s="2" t="s">
        <v>806</v>
      </c>
    </row>
    <row r="841" spans="1:6">
      <c r="A841" s="3" t="s">
        <v>1828</v>
      </c>
      <c r="B841" s="3" t="s">
        <v>96</v>
      </c>
      <c r="C841" s="4" t="s">
        <v>1649</v>
      </c>
      <c r="D841" s="2" t="s">
        <v>1650</v>
      </c>
      <c r="E841" s="2" t="s">
        <v>1651</v>
      </c>
      <c r="F841" s="2" t="s">
        <v>1650</v>
      </c>
    </row>
    <row r="842" spans="1:6">
      <c r="A842" s="3" t="s">
        <v>1828</v>
      </c>
      <c r="B842" s="3" t="s">
        <v>96</v>
      </c>
      <c r="C842" s="4" t="s">
        <v>185</v>
      </c>
      <c r="D842" s="2" t="s">
        <v>186</v>
      </c>
      <c r="E842" s="2" t="s">
        <v>187</v>
      </c>
      <c r="F842" s="2" t="s">
        <v>188</v>
      </c>
    </row>
    <row r="843" spans="1:6">
      <c r="A843" s="3" t="s">
        <v>1828</v>
      </c>
      <c r="B843" s="3" t="s">
        <v>96</v>
      </c>
      <c r="C843" s="4" t="s">
        <v>1652</v>
      </c>
      <c r="D843" s="2" t="s">
        <v>1653</v>
      </c>
      <c r="E843" s="2" t="s">
        <v>1654</v>
      </c>
      <c r="F843" s="2" t="s">
        <v>1655</v>
      </c>
    </row>
    <row r="844" spans="1:6">
      <c r="A844" s="3" t="s">
        <v>1828</v>
      </c>
      <c r="B844" s="3" t="s">
        <v>96</v>
      </c>
      <c r="C844" s="4" t="s">
        <v>1656</v>
      </c>
      <c r="D844" s="2" t="s">
        <v>1657</v>
      </c>
      <c r="E844" s="2" t="s">
        <v>1658</v>
      </c>
      <c r="F844" s="2" t="s">
        <v>1659</v>
      </c>
    </row>
    <row r="845" spans="1:6">
      <c r="A845" s="3" t="s">
        <v>1828</v>
      </c>
      <c r="B845" s="3" t="s">
        <v>96</v>
      </c>
      <c r="C845" s="4" t="s">
        <v>1660</v>
      </c>
      <c r="D845" s="2" t="s">
        <v>1661</v>
      </c>
      <c r="E845" s="2" t="s">
        <v>1662</v>
      </c>
      <c r="F845" s="2" t="s">
        <v>1663</v>
      </c>
    </row>
    <row r="846" spans="1:6">
      <c r="A846" s="3" t="s">
        <v>1828</v>
      </c>
      <c r="B846" s="3" t="s">
        <v>96</v>
      </c>
      <c r="C846" s="4" t="s">
        <v>1664</v>
      </c>
      <c r="D846" s="2" t="s">
        <v>1665</v>
      </c>
      <c r="E846" s="2" t="s">
        <v>1666</v>
      </c>
      <c r="F846" s="2" t="s">
        <v>1667</v>
      </c>
    </row>
    <row r="847" spans="1:6">
      <c r="A847" s="3" t="s">
        <v>1828</v>
      </c>
      <c r="B847" s="3" t="s">
        <v>96</v>
      </c>
      <c r="C847" s="4" t="s">
        <v>1668</v>
      </c>
      <c r="D847" s="2" t="s">
        <v>1669</v>
      </c>
      <c r="E847" s="2" t="s">
        <v>1670</v>
      </c>
      <c r="F847" s="2" t="s">
        <v>1671</v>
      </c>
    </row>
    <row r="848" spans="1:6">
      <c r="A848" s="3" t="s">
        <v>1828</v>
      </c>
      <c r="B848" s="3" t="s">
        <v>96</v>
      </c>
      <c r="C848" s="4" t="s">
        <v>1672</v>
      </c>
      <c r="D848" s="2" t="s">
        <v>1673</v>
      </c>
      <c r="E848" s="2" t="s">
        <v>1674</v>
      </c>
      <c r="F848" s="2" t="s">
        <v>1675</v>
      </c>
    </row>
    <row r="849" spans="1:6">
      <c r="A849" s="3" t="s">
        <v>1828</v>
      </c>
      <c r="B849" s="3" t="s">
        <v>96</v>
      </c>
      <c r="C849" s="4" t="s">
        <v>197</v>
      </c>
      <c r="D849" s="2" t="s">
        <v>198</v>
      </c>
      <c r="E849" s="2" t="s">
        <v>199</v>
      </c>
      <c r="F849" s="2" t="s">
        <v>200</v>
      </c>
    </row>
    <row r="850" spans="1:6">
      <c r="A850" s="3" t="s">
        <v>1828</v>
      </c>
      <c r="B850" s="3" t="s">
        <v>96</v>
      </c>
      <c r="C850" s="4" t="s">
        <v>1780</v>
      </c>
      <c r="D850" s="2" t="s">
        <v>1781</v>
      </c>
      <c r="E850" s="2" t="s">
        <v>1782</v>
      </c>
      <c r="F850" s="2" t="s">
        <v>1783</v>
      </c>
    </row>
    <row r="851" spans="1:6">
      <c r="A851" s="3" t="s">
        <v>1828</v>
      </c>
      <c r="B851" s="3" t="s">
        <v>96</v>
      </c>
      <c r="C851" s="4" t="s">
        <v>1833</v>
      </c>
      <c r="D851" s="2" t="s">
        <v>1834</v>
      </c>
      <c r="E851" s="2" t="s">
        <v>1835</v>
      </c>
      <c r="F851" s="2" t="s">
        <v>1836</v>
      </c>
    </row>
    <row r="852" spans="1:6">
      <c r="A852" s="3" t="s">
        <v>1837</v>
      </c>
      <c r="B852" s="3" t="s">
        <v>97</v>
      </c>
      <c r="C852" s="4" t="s">
        <v>116</v>
      </c>
      <c r="D852" s="2" t="s">
        <v>67</v>
      </c>
      <c r="E852" s="2" t="s">
        <v>117</v>
      </c>
      <c r="F852" s="2" t="s">
        <v>118</v>
      </c>
    </row>
    <row r="853" spans="1:6">
      <c r="A853" s="3" t="s">
        <v>1837</v>
      </c>
      <c r="B853" s="3" t="s">
        <v>97</v>
      </c>
      <c r="C853" s="4" t="s">
        <v>119</v>
      </c>
      <c r="D853" s="2" t="s">
        <v>69</v>
      </c>
      <c r="E853" s="2" t="s">
        <v>63</v>
      </c>
      <c r="F853" s="2" t="s">
        <v>120</v>
      </c>
    </row>
    <row r="854" spans="1:6">
      <c r="A854" s="3" t="s">
        <v>1837</v>
      </c>
      <c r="B854" s="3" t="s">
        <v>97</v>
      </c>
      <c r="C854" s="4" t="s">
        <v>129</v>
      </c>
      <c r="D854" s="2" t="s">
        <v>73</v>
      </c>
      <c r="E854" s="2" t="s">
        <v>130</v>
      </c>
      <c r="F854" s="2" t="s">
        <v>131</v>
      </c>
    </row>
    <row r="855" spans="1:6">
      <c r="A855" s="3" t="s">
        <v>1837</v>
      </c>
      <c r="B855" s="3" t="s">
        <v>97</v>
      </c>
      <c r="C855" s="4" t="s">
        <v>132</v>
      </c>
      <c r="D855" s="2" t="s">
        <v>70</v>
      </c>
      <c r="E855" s="2" t="s">
        <v>133</v>
      </c>
      <c r="F855" s="2" t="s">
        <v>134</v>
      </c>
    </row>
    <row r="856" spans="1:6">
      <c r="A856" s="3" t="s">
        <v>1837</v>
      </c>
      <c r="B856" s="3" t="s">
        <v>97</v>
      </c>
      <c r="C856" s="4" t="s">
        <v>135</v>
      </c>
      <c r="D856" s="2" t="s">
        <v>136</v>
      </c>
      <c r="E856" s="2" t="s">
        <v>137</v>
      </c>
      <c r="F856" s="2" t="s">
        <v>138</v>
      </c>
    </row>
    <row r="857" spans="1:6">
      <c r="A857" s="3" t="s">
        <v>1837</v>
      </c>
      <c r="B857" s="3" t="s">
        <v>97</v>
      </c>
      <c r="C857" s="4" t="s">
        <v>139</v>
      </c>
      <c r="D857" s="2" t="s">
        <v>139</v>
      </c>
      <c r="E857" s="2" t="s">
        <v>140</v>
      </c>
      <c r="F857" s="2" t="s">
        <v>141</v>
      </c>
    </row>
    <row r="858" spans="1:6">
      <c r="A858" s="3" t="s">
        <v>1837</v>
      </c>
      <c r="B858" s="3" t="s">
        <v>97</v>
      </c>
      <c r="C858" s="4" t="s">
        <v>142</v>
      </c>
      <c r="D858" s="2" t="s">
        <v>143</v>
      </c>
      <c r="E858" s="2" t="s">
        <v>144</v>
      </c>
      <c r="F858" s="2" t="s">
        <v>145</v>
      </c>
    </row>
    <row r="859" spans="1:6">
      <c r="A859" s="3" t="s">
        <v>1837</v>
      </c>
      <c r="B859" s="3" t="s">
        <v>97</v>
      </c>
      <c r="C859" s="4" t="s">
        <v>146</v>
      </c>
      <c r="D859" s="2" t="s">
        <v>147</v>
      </c>
      <c r="E859" s="2" t="s">
        <v>148</v>
      </c>
      <c r="F859" s="2" t="s">
        <v>149</v>
      </c>
    </row>
    <row r="860" spans="1:6">
      <c r="A860" s="3" t="s">
        <v>1837</v>
      </c>
      <c r="B860" s="3" t="s">
        <v>97</v>
      </c>
      <c r="C860" s="4" t="s">
        <v>164</v>
      </c>
      <c r="D860" s="2" t="s">
        <v>60</v>
      </c>
      <c r="E860" s="2" t="s">
        <v>165</v>
      </c>
      <c r="F860" s="2" t="s">
        <v>166</v>
      </c>
    </row>
    <row r="861" spans="1:6">
      <c r="A861" s="3" t="s">
        <v>1837</v>
      </c>
      <c r="B861" s="3" t="s">
        <v>97</v>
      </c>
      <c r="C861" s="4" t="s">
        <v>167</v>
      </c>
      <c r="D861" s="2" t="s">
        <v>61</v>
      </c>
      <c r="E861" s="2" t="s">
        <v>168</v>
      </c>
      <c r="F861" s="2" t="s">
        <v>169</v>
      </c>
    </row>
    <row r="862" spans="1:6">
      <c r="A862" s="3" t="s">
        <v>1837</v>
      </c>
      <c r="B862" s="3" t="s">
        <v>97</v>
      </c>
      <c r="C862" s="4" t="s">
        <v>170</v>
      </c>
      <c r="D862" s="2" t="s">
        <v>68</v>
      </c>
      <c r="E862" s="2" t="s">
        <v>171</v>
      </c>
      <c r="F862" s="2" t="s">
        <v>172</v>
      </c>
    </row>
    <row r="863" spans="1:6">
      <c r="A863" s="3" t="s">
        <v>1837</v>
      </c>
      <c r="B863" s="3" t="s">
        <v>97</v>
      </c>
      <c r="C863" s="4" t="s">
        <v>173</v>
      </c>
      <c r="D863" s="2" t="s">
        <v>174</v>
      </c>
      <c r="E863" s="2" t="s">
        <v>175</v>
      </c>
      <c r="F863" s="2" t="s">
        <v>176</v>
      </c>
    </row>
    <row r="864" spans="1:6">
      <c r="A864" s="3" t="s">
        <v>1837</v>
      </c>
      <c r="B864" s="3" t="s">
        <v>97</v>
      </c>
      <c r="C864" s="4" t="s">
        <v>797</v>
      </c>
      <c r="D864" s="2" t="s">
        <v>798</v>
      </c>
      <c r="E864" s="2" t="s">
        <v>799</v>
      </c>
      <c r="F864" s="2" t="s">
        <v>798</v>
      </c>
    </row>
    <row r="865" spans="1:6">
      <c r="A865" s="3" t="s">
        <v>1837</v>
      </c>
      <c r="B865" s="3" t="s">
        <v>97</v>
      </c>
      <c r="C865" s="4" t="s">
        <v>177</v>
      </c>
      <c r="D865" s="2" t="s">
        <v>178</v>
      </c>
      <c r="E865" s="2" t="s">
        <v>179</v>
      </c>
      <c r="F865" s="2" t="s">
        <v>180</v>
      </c>
    </row>
    <row r="866" spans="1:6">
      <c r="A866" s="3" t="s">
        <v>1837</v>
      </c>
      <c r="B866" s="3" t="s">
        <v>97</v>
      </c>
      <c r="C866" s="4" t="s">
        <v>181</v>
      </c>
      <c r="D866" s="2" t="s">
        <v>182</v>
      </c>
      <c r="E866" s="2" t="s">
        <v>183</v>
      </c>
      <c r="F866" s="2" t="s">
        <v>184</v>
      </c>
    </row>
    <row r="867" spans="1:6">
      <c r="A867" s="3" t="s">
        <v>1837</v>
      </c>
      <c r="B867" s="3" t="s">
        <v>97</v>
      </c>
      <c r="C867" s="4" t="s">
        <v>800</v>
      </c>
      <c r="D867" s="2" t="s">
        <v>71</v>
      </c>
      <c r="E867" s="2" t="s">
        <v>801</v>
      </c>
      <c r="F867" s="2" t="s">
        <v>802</v>
      </c>
    </row>
    <row r="868" spans="1:6">
      <c r="A868" s="3" t="s">
        <v>1837</v>
      </c>
      <c r="B868" s="3" t="s">
        <v>97</v>
      </c>
      <c r="C868" s="4" t="s">
        <v>803</v>
      </c>
      <c r="D868" s="2" t="s">
        <v>804</v>
      </c>
      <c r="E868" s="2" t="s">
        <v>805</v>
      </c>
      <c r="F868" s="2" t="s">
        <v>806</v>
      </c>
    </row>
    <row r="869" spans="1:6">
      <c r="A869" s="3" t="s">
        <v>1837</v>
      </c>
      <c r="B869" s="3" t="s">
        <v>97</v>
      </c>
      <c r="C869" s="4" t="s">
        <v>1649</v>
      </c>
      <c r="D869" s="2" t="s">
        <v>1650</v>
      </c>
      <c r="E869" s="2" t="s">
        <v>1651</v>
      </c>
      <c r="F869" s="2" t="s">
        <v>1650</v>
      </c>
    </row>
    <row r="870" spans="1:6">
      <c r="A870" s="3" t="s">
        <v>1837</v>
      </c>
      <c r="B870" s="3" t="s">
        <v>97</v>
      </c>
      <c r="C870" s="4" t="s">
        <v>185</v>
      </c>
      <c r="D870" s="2" t="s">
        <v>186</v>
      </c>
      <c r="E870" s="2" t="s">
        <v>187</v>
      </c>
      <c r="F870" s="2" t="s">
        <v>188</v>
      </c>
    </row>
    <row r="871" spans="1:6">
      <c r="A871" s="3" t="s">
        <v>1837</v>
      </c>
      <c r="B871" s="3" t="s">
        <v>97</v>
      </c>
      <c r="C871" s="4" t="s">
        <v>1652</v>
      </c>
      <c r="D871" s="2" t="s">
        <v>1653</v>
      </c>
      <c r="E871" s="2" t="s">
        <v>1654</v>
      </c>
      <c r="F871" s="2" t="s">
        <v>1655</v>
      </c>
    </row>
    <row r="872" spans="1:6">
      <c r="A872" s="3" t="s">
        <v>1837</v>
      </c>
      <c r="B872" s="3" t="s">
        <v>97</v>
      </c>
      <c r="C872" s="4" t="s">
        <v>1656</v>
      </c>
      <c r="D872" s="2" t="s">
        <v>1657</v>
      </c>
      <c r="E872" s="2" t="s">
        <v>1658</v>
      </c>
      <c r="F872" s="2" t="s">
        <v>1659</v>
      </c>
    </row>
    <row r="873" spans="1:6">
      <c r="A873" s="3" t="s">
        <v>1837</v>
      </c>
      <c r="B873" s="3" t="s">
        <v>97</v>
      </c>
      <c r="C873" s="4" t="s">
        <v>189</v>
      </c>
      <c r="D873" s="2" t="s">
        <v>190</v>
      </c>
      <c r="E873" s="2" t="s">
        <v>191</v>
      </c>
      <c r="F873" s="2" t="s">
        <v>192</v>
      </c>
    </row>
    <row r="874" spans="1:6">
      <c r="A874" s="3" t="s">
        <v>1837</v>
      </c>
      <c r="B874" s="3" t="s">
        <v>97</v>
      </c>
      <c r="C874" s="4" t="s">
        <v>1660</v>
      </c>
      <c r="D874" s="2" t="s">
        <v>1661</v>
      </c>
      <c r="E874" s="2" t="s">
        <v>1662</v>
      </c>
      <c r="F874" s="2" t="s">
        <v>1663</v>
      </c>
    </row>
    <row r="875" spans="1:6">
      <c r="A875" s="3" t="s">
        <v>1837</v>
      </c>
      <c r="B875" s="3" t="s">
        <v>97</v>
      </c>
      <c r="C875" s="4" t="s">
        <v>1664</v>
      </c>
      <c r="D875" s="2" t="s">
        <v>1665</v>
      </c>
      <c r="E875" s="2" t="s">
        <v>1666</v>
      </c>
      <c r="F875" s="2" t="s">
        <v>1667</v>
      </c>
    </row>
    <row r="876" spans="1:6">
      <c r="A876" s="3" t="s">
        <v>1837</v>
      </c>
      <c r="B876" s="3" t="s">
        <v>97</v>
      </c>
      <c r="C876" s="4" t="s">
        <v>1668</v>
      </c>
      <c r="D876" s="2" t="s">
        <v>1669</v>
      </c>
      <c r="E876" s="2" t="s">
        <v>1670</v>
      </c>
      <c r="F876" s="2" t="s">
        <v>1671</v>
      </c>
    </row>
    <row r="877" spans="1:6">
      <c r="A877" s="3" t="s">
        <v>1837</v>
      </c>
      <c r="B877" s="3" t="s">
        <v>97</v>
      </c>
      <c r="C877" s="4" t="s">
        <v>1672</v>
      </c>
      <c r="D877" s="2" t="s">
        <v>1673</v>
      </c>
      <c r="E877" s="2" t="s">
        <v>1674</v>
      </c>
      <c r="F877" s="2" t="s">
        <v>1675</v>
      </c>
    </row>
    <row r="878" spans="1:6">
      <c r="A878" s="3" t="s">
        <v>1837</v>
      </c>
      <c r="B878" s="3" t="s">
        <v>97</v>
      </c>
      <c r="C878" s="4" t="s">
        <v>197</v>
      </c>
      <c r="D878" s="2" t="s">
        <v>198</v>
      </c>
      <c r="E878" s="2" t="s">
        <v>199</v>
      </c>
      <c r="F878" s="2" t="s">
        <v>200</v>
      </c>
    </row>
    <row r="879" spans="1:6">
      <c r="A879" s="3" t="s">
        <v>1837</v>
      </c>
      <c r="B879" s="3" t="s">
        <v>97</v>
      </c>
      <c r="C879" s="4" t="s">
        <v>1676</v>
      </c>
      <c r="D879" s="2" t="s">
        <v>1677</v>
      </c>
      <c r="E879" s="2" t="s">
        <v>1678</v>
      </c>
      <c r="F879" s="2" t="s">
        <v>1679</v>
      </c>
    </row>
    <row r="880" spans="1:6">
      <c r="A880" s="3" t="s">
        <v>1837</v>
      </c>
      <c r="B880" s="3" t="s">
        <v>97</v>
      </c>
      <c r="C880" s="4" t="s">
        <v>1680</v>
      </c>
      <c r="D880" s="2" t="s">
        <v>1681</v>
      </c>
      <c r="E880" s="2" t="s">
        <v>1682</v>
      </c>
      <c r="F880" s="2" t="s">
        <v>1683</v>
      </c>
    </row>
    <row r="881" spans="1:6">
      <c r="A881" s="3" t="s">
        <v>1837</v>
      </c>
      <c r="B881" s="3" t="s">
        <v>97</v>
      </c>
      <c r="C881" s="4" t="s">
        <v>1684</v>
      </c>
      <c r="D881" s="2" t="s">
        <v>1685</v>
      </c>
      <c r="E881" s="2" t="s">
        <v>1686</v>
      </c>
      <c r="F881" s="2" t="s">
        <v>1687</v>
      </c>
    </row>
    <row r="882" spans="1:6">
      <c r="A882" s="3" t="s">
        <v>1837</v>
      </c>
      <c r="B882" s="3" t="s">
        <v>97</v>
      </c>
      <c r="C882" s="4" t="s">
        <v>1688</v>
      </c>
      <c r="D882" s="2" t="s">
        <v>1689</v>
      </c>
      <c r="E882" s="2" t="s">
        <v>1690</v>
      </c>
      <c r="F882" s="2" t="s">
        <v>1691</v>
      </c>
    </row>
    <row r="883" spans="1:6">
      <c r="A883" s="3" t="s">
        <v>1837</v>
      </c>
      <c r="B883" s="3" t="s">
        <v>97</v>
      </c>
      <c r="C883" s="4" t="s">
        <v>1692</v>
      </c>
      <c r="D883" s="2" t="s">
        <v>1693</v>
      </c>
      <c r="E883" s="2" t="s">
        <v>1694</v>
      </c>
      <c r="F883" s="2" t="s">
        <v>1695</v>
      </c>
    </row>
    <row r="884" spans="1:6">
      <c r="A884" s="3" t="s">
        <v>1837</v>
      </c>
      <c r="B884" s="3" t="s">
        <v>97</v>
      </c>
      <c r="C884" s="4" t="s">
        <v>1696</v>
      </c>
      <c r="D884" s="2" t="s">
        <v>1697</v>
      </c>
      <c r="E884" s="2" t="s">
        <v>1698</v>
      </c>
      <c r="F884" s="2" t="s">
        <v>1699</v>
      </c>
    </row>
    <row r="885" spans="1:6">
      <c r="A885" s="3" t="s">
        <v>1837</v>
      </c>
      <c r="B885" s="3" t="s">
        <v>97</v>
      </c>
      <c r="C885" s="4" t="s">
        <v>1700</v>
      </c>
      <c r="D885" s="2" t="s">
        <v>1701</v>
      </c>
      <c r="E885" s="2" t="s">
        <v>1702</v>
      </c>
      <c r="F885" s="2" t="s">
        <v>1703</v>
      </c>
    </row>
    <row r="886" spans="1:6">
      <c r="A886" s="3" t="s">
        <v>1837</v>
      </c>
      <c r="B886" s="3" t="s">
        <v>97</v>
      </c>
      <c r="C886" s="4" t="s">
        <v>1704</v>
      </c>
      <c r="D886" s="2" t="s">
        <v>1705</v>
      </c>
      <c r="E886" s="2" t="s">
        <v>1706</v>
      </c>
      <c r="F886" s="2" t="s">
        <v>1707</v>
      </c>
    </row>
    <row r="887" spans="1:6">
      <c r="A887" s="3" t="s">
        <v>1837</v>
      </c>
      <c r="B887" s="3" t="s">
        <v>97</v>
      </c>
      <c r="C887" s="4" t="s">
        <v>1708</v>
      </c>
      <c r="D887" s="2" t="s">
        <v>1709</v>
      </c>
      <c r="E887" s="2" t="s">
        <v>1710</v>
      </c>
      <c r="F887" s="2" t="s">
        <v>1711</v>
      </c>
    </row>
    <row r="888" spans="1:6">
      <c r="A888" s="3" t="s">
        <v>1837</v>
      </c>
      <c r="B888" s="3" t="s">
        <v>97</v>
      </c>
      <c r="C888" s="4" t="s">
        <v>1712</v>
      </c>
      <c r="D888" s="2" t="s">
        <v>1713</v>
      </c>
      <c r="E888" s="2" t="s">
        <v>1714</v>
      </c>
      <c r="F888" s="2" t="s">
        <v>1715</v>
      </c>
    </row>
    <row r="889" spans="1:6">
      <c r="A889" s="3" t="s">
        <v>1837</v>
      </c>
      <c r="B889" s="3" t="s">
        <v>97</v>
      </c>
      <c r="C889" s="4" t="s">
        <v>1716</v>
      </c>
      <c r="D889" s="2" t="s">
        <v>1717</v>
      </c>
      <c r="E889" s="2" t="s">
        <v>1718</v>
      </c>
      <c r="F889" s="2" t="s">
        <v>1719</v>
      </c>
    </row>
    <row r="890" spans="1:6">
      <c r="A890" s="3" t="s">
        <v>1837</v>
      </c>
      <c r="B890" s="3" t="s">
        <v>97</v>
      </c>
      <c r="C890" s="4" t="s">
        <v>1720</v>
      </c>
      <c r="D890" s="2" t="s">
        <v>1721</v>
      </c>
      <c r="E890" s="2" t="s">
        <v>1722</v>
      </c>
      <c r="F890" s="2" t="s">
        <v>1723</v>
      </c>
    </row>
    <row r="891" spans="1:6">
      <c r="A891" s="3" t="s">
        <v>1837</v>
      </c>
      <c r="B891" s="3" t="s">
        <v>97</v>
      </c>
      <c r="C891" s="4" t="s">
        <v>1724</v>
      </c>
      <c r="D891" s="2" t="s">
        <v>1725</v>
      </c>
      <c r="E891" s="2" t="s">
        <v>1726</v>
      </c>
      <c r="F891" s="2" t="s">
        <v>1727</v>
      </c>
    </row>
    <row r="892" spans="1:6">
      <c r="A892" s="3" t="s">
        <v>1837</v>
      </c>
      <c r="B892" s="3" t="s">
        <v>97</v>
      </c>
      <c r="C892" s="4" t="s">
        <v>1728</v>
      </c>
      <c r="D892" s="2" t="s">
        <v>1729</v>
      </c>
      <c r="E892" s="2" t="s">
        <v>1730</v>
      </c>
      <c r="F892" s="2" t="s">
        <v>1731</v>
      </c>
    </row>
    <row r="893" spans="1:6">
      <c r="A893" s="3" t="s">
        <v>1837</v>
      </c>
      <c r="B893" s="3" t="s">
        <v>97</v>
      </c>
      <c r="C893" s="4" t="s">
        <v>1732</v>
      </c>
      <c r="D893" s="2" t="s">
        <v>1733</v>
      </c>
      <c r="E893" s="2" t="s">
        <v>1734</v>
      </c>
      <c r="F893" s="2" t="s">
        <v>1735</v>
      </c>
    </row>
    <row r="894" spans="1:6">
      <c r="A894" s="3" t="s">
        <v>1837</v>
      </c>
      <c r="B894" s="3" t="s">
        <v>97</v>
      </c>
      <c r="C894" s="4" t="s">
        <v>1736</v>
      </c>
      <c r="D894" s="2" t="s">
        <v>1737</v>
      </c>
      <c r="E894" s="2" t="s">
        <v>1738</v>
      </c>
      <c r="F894" s="2" t="s">
        <v>1739</v>
      </c>
    </row>
    <row r="895" spans="1:6">
      <c r="A895" s="3" t="s">
        <v>1837</v>
      </c>
      <c r="B895" s="3" t="s">
        <v>97</v>
      </c>
      <c r="C895" s="4" t="s">
        <v>1740</v>
      </c>
      <c r="D895" s="2" t="s">
        <v>1741</v>
      </c>
      <c r="E895" s="2" t="s">
        <v>1742</v>
      </c>
      <c r="F895" s="2" t="s">
        <v>1743</v>
      </c>
    </row>
    <row r="896" spans="1:6">
      <c r="A896" s="3" t="s">
        <v>1837</v>
      </c>
      <c r="B896" s="3" t="s">
        <v>97</v>
      </c>
      <c r="C896" s="4" t="s">
        <v>1744</v>
      </c>
      <c r="D896" s="2" t="s">
        <v>1745</v>
      </c>
      <c r="E896" s="2" t="s">
        <v>1746</v>
      </c>
      <c r="F896" s="2" t="s">
        <v>1747</v>
      </c>
    </row>
    <row r="897" spans="1:6">
      <c r="A897" s="3" t="s">
        <v>1837</v>
      </c>
      <c r="B897" s="3" t="s">
        <v>97</v>
      </c>
      <c r="C897" s="4" t="s">
        <v>1748</v>
      </c>
      <c r="D897" s="2" t="s">
        <v>1749</v>
      </c>
      <c r="E897" s="2" t="s">
        <v>1750</v>
      </c>
      <c r="F897" s="2" t="s">
        <v>1751</v>
      </c>
    </row>
    <row r="898" spans="1:6">
      <c r="A898" s="3" t="s">
        <v>1837</v>
      </c>
      <c r="B898" s="3" t="s">
        <v>97</v>
      </c>
      <c r="C898" s="4" t="s">
        <v>1752</v>
      </c>
      <c r="D898" s="2" t="s">
        <v>1753</v>
      </c>
      <c r="E898" s="2" t="s">
        <v>1754</v>
      </c>
      <c r="F898" s="2" t="s">
        <v>1755</v>
      </c>
    </row>
    <row r="899" spans="1:6">
      <c r="A899" s="3" t="s">
        <v>1837</v>
      </c>
      <c r="B899" s="3" t="s">
        <v>97</v>
      </c>
      <c r="C899" s="4" t="s">
        <v>1756</v>
      </c>
      <c r="D899" s="2" t="s">
        <v>1757</v>
      </c>
      <c r="E899" s="2" t="s">
        <v>1758</v>
      </c>
      <c r="F899" s="2" t="s">
        <v>1759</v>
      </c>
    </row>
    <row r="900" spans="1:6">
      <c r="A900" s="3" t="s">
        <v>1837</v>
      </c>
      <c r="B900" s="3" t="s">
        <v>97</v>
      </c>
      <c r="C900" s="4" t="s">
        <v>1760</v>
      </c>
      <c r="D900" s="2" t="s">
        <v>1761</v>
      </c>
      <c r="E900" s="2" t="s">
        <v>1762</v>
      </c>
      <c r="F900" s="2" t="s">
        <v>1763</v>
      </c>
    </row>
    <row r="901" spans="1:6">
      <c r="A901" s="3" t="s">
        <v>1837</v>
      </c>
      <c r="B901" s="3" t="s">
        <v>97</v>
      </c>
      <c r="C901" s="4" t="s">
        <v>1764</v>
      </c>
      <c r="D901" s="2" t="s">
        <v>1765</v>
      </c>
      <c r="E901" s="2" t="s">
        <v>1766</v>
      </c>
      <c r="F901" s="2" t="s">
        <v>1767</v>
      </c>
    </row>
    <row r="902" spans="1:6">
      <c r="A902" s="3" t="s">
        <v>1837</v>
      </c>
      <c r="B902" s="3" t="s">
        <v>97</v>
      </c>
      <c r="C902" s="4" t="s">
        <v>1768</v>
      </c>
      <c r="D902" s="2" t="s">
        <v>1769</v>
      </c>
      <c r="E902" s="2" t="s">
        <v>1770</v>
      </c>
      <c r="F902" s="2" t="s">
        <v>1771</v>
      </c>
    </row>
    <row r="903" spans="1:6">
      <c r="A903" s="3" t="s">
        <v>1837</v>
      </c>
      <c r="B903" s="3" t="s">
        <v>97</v>
      </c>
      <c r="C903" s="4" t="s">
        <v>1165</v>
      </c>
      <c r="D903" s="2" t="s">
        <v>1166</v>
      </c>
      <c r="E903" s="2" t="s">
        <v>1167</v>
      </c>
      <c r="F903" s="2" t="s">
        <v>1168</v>
      </c>
    </row>
    <row r="904" spans="1:6">
      <c r="A904" s="3" t="s">
        <v>1837</v>
      </c>
      <c r="B904" s="3" t="s">
        <v>97</v>
      </c>
      <c r="C904" s="4" t="s">
        <v>1772</v>
      </c>
      <c r="D904" s="2" t="s">
        <v>1773</v>
      </c>
      <c r="E904" s="2" t="s">
        <v>1774</v>
      </c>
      <c r="F904" s="2" t="s">
        <v>1775</v>
      </c>
    </row>
    <row r="905" spans="1:6">
      <c r="A905" s="3" t="s">
        <v>1837</v>
      </c>
      <c r="B905" s="3" t="s">
        <v>97</v>
      </c>
      <c r="C905" s="4" t="s">
        <v>1776</v>
      </c>
      <c r="D905" s="2" t="s">
        <v>1777</v>
      </c>
      <c r="E905" s="2" t="s">
        <v>1778</v>
      </c>
      <c r="F905" s="2" t="s">
        <v>1779</v>
      </c>
    </row>
    <row r="906" spans="1:6">
      <c r="A906" s="3" t="s">
        <v>1837</v>
      </c>
      <c r="B906" s="3" t="s">
        <v>97</v>
      </c>
      <c r="C906" s="4" t="s">
        <v>1780</v>
      </c>
      <c r="D906" s="2" t="s">
        <v>1781</v>
      </c>
      <c r="E906" s="2" t="s">
        <v>1782</v>
      </c>
      <c r="F906" s="2" t="s">
        <v>1783</v>
      </c>
    </row>
    <row r="907" spans="1:6">
      <c r="A907" s="3" t="s">
        <v>1837</v>
      </c>
      <c r="B907" s="3" t="s">
        <v>97</v>
      </c>
      <c r="C907" s="4" t="s">
        <v>1784</v>
      </c>
      <c r="D907" s="2" t="s">
        <v>1785</v>
      </c>
      <c r="E907" s="2" t="s">
        <v>1786</v>
      </c>
      <c r="F907" s="2" t="s">
        <v>1787</v>
      </c>
    </row>
    <row r="908" spans="1:6">
      <c r="A908" s="3" t="s">
        <v>1837</v>
      </c>
      <c r="B908" s="3" t="s">
        <v>97</v>
      </c>
      <c r="C908" s="4" t="s">
        <v>1788</v>
      </c>
      <c r="D908" s="2" t="s">
        <v>1789</v>
      </c>
      <c r="E908" s="2" t="s">
        <v>1790</v>
      </c>
      <c r="F908" s="2" t="s">
        <v>1791</v>
      </c>
    </row>
    <row r="909" spans="1:6">
      <c r="A909" s="3" t="s">
        <v>1837</v>
      </c>
      <c r="B909" s="3" t="s">
        <v>97</v>
      </c>
      <c r="C909" s="4" t="s">
        <v>1792</v>
      </c>
      <c r="D909" s="2" t="s">
        <v>1793</v>
      </c>
      <c r="E909" s="2" t="s">
        <v>1794</v>
      </c>
      <c r="F909" s="2" t="s">
        <v>1795</v>
      </c>
    </row>
    <row r="910" spans="1:6">
      <c r="A910" s="3" t="s">
        <v>1837</v>
      </c>
      <c r="B910" s="3" t="s">
        <v>97</v>
      </c>
      <c r="C910" s="4" t="s">
        <v>1796</v>
      </c>
      <c r="D910" s="2" t="s">
        <v>1797</v>
      </c>
      <c r="E910" s="2" t="s">
        <v>1798</v>
      </c>
      <c r="F910" s="2" t="s">
        <v>1799</v>
      </c>
    </row>
    <row r="911" spans="1:6">
      <c r="A911" s="3" t="s">
        <v>1837</v>
      </c>
      <c r="B911" s="3" t="s">
        <v>97</v>
      </c>
      <c r="C911" s="4" t="s">
        <v>1800</v>
      </c>
      <c r="D911" s="2" t="s">
        <v>1801</v>
      </c>
      <c r="E911" s="2" t="s">
        <v>1802</v>
      </c>
      <c r="F911" s="2" t="s">
        <v>1803</v>
      </c>
    </row>
    <row r="912" spans="1:6">
      <c r="A912" s="3" t="s">
        <v>1837</v>
      </c>
      <c r="B912" s="3" t="s">
        <v>97</v>
      </c>
      <c r="C912" s="4" t="s">
        <v>1804</v>
      </c>
      <c r="D912" s="2" t="s">
        <v>1805</v>
      </c>
      <c r="E912" s="2" t="s">
        <v>1806</v>
      </c>
      <c r="F912" s="2" t="s">
        <v>1807</v>
      </c>
    </row>
    <row r="913" spans="1:6">
      <c r="A913" s="3" t="s">
        <v>1837</v>
      </c>
      <c r="B913" s="3" t="s">
        <v>97</v>
      </c>
      <c r="C913" s="4" t="s">
        <v>1808</v>
      </c>
      <c r="D913" s="2" t="s">
        <v>1809</v>
      </c>
      <c r="E913" s="2" t="s">
        <v>1810</v>
      </c>
      <c r="F913" s="2" t="s">
        <v>1811</v>
      </c>
    </row>
    <row r="914" spans="1:6">
      <c r="A914" s="3" t="s">
        <v>1837</v>
      </c>
      <c r="B914" s="3" t="s">
        <v>97</v>
      </c>
      <c r="C914" s="4" t="s">
        <v>1812</v>
      </c>
      <c r="D914" s="2" t="s">
        <v>1813</v>
      </c>
      <c r="E914" s="2" t="s">
        <v>1814</v>
      </c>
      <c r="F914" s="2" t="s">
        <v>1815</v>
      </c>
    </row>
    <row r="915" spans="1:6">
      <c r="A915" s="3" t="s">
        <v>1837</v>
      </c>
      <c r="B915" s="3" t="s">
        <v>97</v>
      </c>
      <c r="C915" s="4" t="s">
        <v>1816</v>
      </c>
      <c r="D915" s="2" t="s">
        <v>1817</v>
      </c>
      <c r="E915" s="2" t="s">
        <v>1818</v>
      </c>
      <c r="F915" s="2" t="s">
        <v>1819</v>
      </c>
    </row>
    <row r="916" spans="1:6">
      <c r="A916" s="3" t="s">
        <v>1837</v>
      </c>
      <c r="B916" s="3" t="s">
        <v>97</v>
      </c>
      <c r="C916" s="4" t="s">
        <v>1820</v>
      </c>
      <c r="D916" s="2" t="s">
        <v>1821</v>
      </c>
      <c r="E916" s="2" t="s">
        <v>1822</v>
      </c>
      <c r="F916" s="2" t="s">
        <v>1823</v>
      </c>
    </row>
    <row r="917" spans="1:6">
      <c r="A917" s="3" t="s">
        <v>1837</v>
      </c>
      <c r="B917" s="3" t="s">
        <v>97</v>
      </c>
      <c r="C917" s="4" t="s">
        <v>1824</v>
      </c>
      <c r="D917" s="2" t="s">
        <v>1825</v>
      </c>
      <c r="E917" s="2" t="s">
        <v>1826</v>
      </c>
      <c r="F917" s="2" t="s">
        <v>1827</v>
      </c>
    </row>
    <row r="918" spans="1:6">
      <c r="A918" s="3" t="s">
        <v>1837</v>
      </c>
      <c r="B918" s="3" t="s">
        <v>97</v>
      </c>
      <c r="C918" s="4" t="s">
        <v>1838</v>
      </c>
      <c r="D918" s="2" t="s">
        <v>1839</v>
      </c>
      <c r="E918" s="2" t="s">
        <v>1840</v>
      </c>
      <c r="F918" s="2" t="s">
        <v>1841</v>
      </c>
    </row>
    <row r="919" spans="1:6">
      <c r="A919" s="3" t="s">
        <v>1837</v>
      </c>
      <c r="B919" s="3" t="s">
        <v>97</v>
      </c>
      <c r="C919" s="4" t="s">
        <v>1842</v>
      </c>
      <c r="D919" s="2" t="s">
        <v>1843</v>
      </c>
      <c r="E919" s="2" t="s">
        <v>1844</v>
      </c>
      <c r="F919" s="2" t="s">
        <v>1845</v>
      </c>
    </row>
    <row r="920" spans="1:6">
      <c r="A920" s="3" t="s">
        <v>1837</v>
      </c>
      <c r="B920" s="3" t="s">
        <v>97</v>
      </c>
      <c r="C920" s="4" t="s">
        <v>1846</v>
      </c>
      <c r="D920" s="2" t="s">
        <v>1847</v>
      </c>
      <c r="E920" s="2" t="s">
        <v>1848</v>
      </c>
      <c r="F920" s="2" t="s">
        <v>1849</v>
      </c>
    </row>
    <row r="921" spans="1:6">
      <c r="A921" s="3" t="s">
        <v>1837</v>
      </c>
      <c r="B921" s="3" t="s">
        <v>97</v>
      </c>
      <c r="C921" s="4" t="s">
        <v>1850</v>
      </c>
      <c r="D921" s="2" t="s">
        <v>1851</v>
      </c>
      <c r="E921" s="2" t="s">
        <v>1852</v>
      </c>
      <c r="F921" s="2" t="s">
        <v>1853</v>
      </c>
    </row>
    <row r="922" spans="1:6">
      <c r="A922" s="3" t="s">
        <v>1854</v>
      </c>
      <c r="B922" s="3" t="s">
        <v>98</v>
      </c>
      <c r="C922" s="4" t="s">
        <v>116</v>
      </c>
      <c r="D922" s="2" t="s">
        <v>67</v>
      </c>
      <c r="E922" s="2" t="s">
        <v>117</v>
      </c>
      <c r="F922" s="2" t="s">
        <v>118</v>
      </c>
    </row>
    <row r="923" spans="1:6">
      <c r="A923" s="3" t="s">
        <v>1854</v>
      </c>
      <c r="B923" s="3" t="s">
        <v>98</v>
      </c>
      <c r="C923" s="4" t="s">
        <v>119</v>
      </c>
      <c r="D923" s="2" t="s">
        <v>69</v>
      </c>
      <c r="E923" s="2" t="s">
        <v>63</v>
      </c>
      <c r="F923" s="2" t="s">
        <v>120</v>
      </c>
    </row>
    <row r="924" spans="1:6">
      <c r="A924" s="3" t="s">
        <v>1854</v>
      </c>
      <c r="B924" s="3" t="s">
        <v>98</v>
      </c>
      <c r="C924" s="4" t="s">
        <v>129</v>
      </c>
      <c r="D924" s="2" t="s">
        <v>73</v>
      </c>
      <c r="E924" s="2" t="s">
        <v>130</v>
      </c>
      <c r="F924" s="2" t="s">
        <v>131</v>
      </c>
    </row>
    <row r="925" spans="1:6">
      <c r="A925" s="3" t="s">
        <v>1854</v>
      </c>
      <c r="B925" s="3" t="s">
        <v>98</v>
      </c>
      <c r="C925" s="4" t="s">
        <v>132</v>
      </c>
      <c r="D925" s="2" t="s">
        <v>70</v>
      </c>
      <c r="E925" s="2" t="s">
        <v>133</v>
      </c>
      <c r="F925" s="2" t="s">
        <v>134</v>
      </c>
    </row>
    <row r="926" spans="1:6">
      <c r="A926" s="3" t="s">
        <v>1854</v>
      </c>
      <c r="B926" s="3" t="s">
        <v>98</v>
      </c>
      <c r="C926" s="4" t="s">
        <v>135</v>
      </c>
      <c r="D926" s="2" t="s">
        <v>136</v>
      </c>
      <c r="E926" s="2" t="s">
        <v>137</v>
      </c>
      <c r="F926" s="2" t="s">
        <v>138</v>
      </c>
    </row>
    <row r="927" spans="1:6">
      <c r="A927" s="3" t="s">
        <v>1854</v>
      </c>
      <c r="B927" s="3" t="s">
        <v>98</v>
      </c>
      <c r="C927" s="4" t="s">
        <v>139</v>
      </c>
      <c r="D927" s="2" t="s">
        <v>139</v>
      </c>
      <c r="E927" s="2" t="s">
        <v>140</v>
      </c>
      <c r="F927" s="2" t="s">
        <v>141</v>
      </c>
    </row>
    <row r="928" spans="1:6">
      <c r="A928" s="3" t="s">
        <v>1854</v>
      </c>
      <c r="B928" s="3" t="s">
        <v>98</v>
      </c>
      <c r="C928" s="4" t="s">
        <v>142</v>
      </c>
      <c r="D928" s="2" t="s">
        <v>143</v>
      </c>
      <c r="E928" s="2" t="s">
        <v>144</v>
      </c>
      <c r="F928" s="2" t="s">
        <v>145</v>
      </c>
    </row>
    <row r="929" spans="1:6">
      <c r="A929" s="3" t="s">
        <v>1854</v>
      </c>
      <c r="B929" s="3" t="s">
        <v>98</v>
      </c>
      <c r="C929" s="4" t="s">
        <v>146</v>
      </c>
      <c r="D929" s="2" t="s">
        <v>147</v>
      </c>
      <c r="E929" s="2" t="s">
        <v>148</v>
      </c>
      <c r="F929" s="2" t="s">
        <v>149</v>
      </c>
    </row>
    <row r="930" spans="1:6">
      <c r="A930" s="3" t="s">
        <v>1854</v>
      </c>
      <c r="B930" s="3" t="s">
        <v>98</v>
      </c>
      <c r="C930" s="4" t="s">
        <v>1855</v>
      </c>
      <c r="D930" s="2" t="s">
        <v>1856</v>
      </c>
      <c r="E930" s="2" t="s">
        <v>1857</v>
      </c>
      <c r="F930" s="2" t="s">
        <v>1858</v>
      </c>
    </row>
    <row r="931" spans="1:6">
      <c r="A931" s="3" t="s">
        <v>1854</v>
      </c>
      <c r="B931" s="3" t="s">
        <v>98</v>
      </c>
      <c r="C931" s="4" t="s">
        <v>1859</v>
      </c>
      <c r="D931" s="2" t="s">
        <v>1860</v>
      </c>
      <c r="E931" s="2" t="s">
        <v>1861</v>
      </c>
      <c r="F931" s="2" t="s">
        <v>1862</v>
      </c>
    </row>
    <row r="932" spans="1:6">
      <c r="A932" s="3" t="s">
        <v>1854</v>
      </c>
      <c r="B932" s="3" t="s">
        <v>98</v>
      </c>
      <c r="C932" s="4" t="s">
        <v>164</v>
      </c>
      <c r="D932" s="2" t="s">
        <v>60</v>
      </c>
      <c r="E932" s="2" t="s">
        <v>165</v>
      </c>
      <c r="F932" s="2" t="s">
        <v>166</v>
      </c>
    </row>
    <row r="933" spans="1:6">
      <c r="A933" s="3" t="s">
        <v>1854</v>
      </c>
      <c r="B933" s="3" t="s">
        <v>98</v>
      </c>
      <c r="C933" s="4" t="s">
        <v>167</v>
      </c>
      <c r="D933" s="2" t="s">
        <v>61</v>
      </c>
      <c r="E933" s="2" t="s">
        <v>168</v>
      </c>
      <c r="F933" s="2" t="s">
        <v>169</v>
      </c>
    </row>
    <row r="934" spans="1:6">
      <c r="A934" s="3" t="s">
        <v>1854</v>
      </c>
      <c r="B934" s="3" t="s">
        <v>98</v>
      </c>
      <c r="C934" s="4" t="s">
        <v>170</v>
      </c>
      <c r="D934" s="2" t="s">
        <v>68</v>
      </c>
      <c r="E934" s="2" t="s">
        <v>171</v>
      </c>
      <c r="F934" s="2" t="s">
        <v>172</v>
      </c>
    </row>
    <row r="935" spans="1:6">
      <c r="A935" s="3" t="s">
        <v>1854</v>
      </c>
      <c r="B935" s="3" t="s">
        <v>98</v>
      </c>
      <c r="C935" s="4" t="s">
        <v>173</v>
      </c>
      <c r="D935" s="2" t="s">
        <v>174</v>
      </c>
      <c r="E935" s="2" t="s">
        <v>175</v>
      </c>
      <c r="F935" s="2" t="s">
        <v>176</v>
      </c>
    </row>
    <row r="936" spans="1:6">
      <c r="A936" s="3" t="s">
        <v>1854</v>
      </c>
      <c r="B936" s="3" t="s">
        <v>98</v>
      </c>
      <c r="C936" s="4" t="s">
        <v>797</v>
      </c>
      <c r="D936" s="2" t="s">
        <v>798</v>
      </c>
      <c r="E936" s="2" t="s">
        <v>799</v>
      </c>
      <c r="F936" s="2" t="s">
        <v>798</v>
      </c>
    </row>
    <row r="937" spans="1:6">
      <c r="A937" s="3" t="s">
        <v>1854</v>
      </c>
      <c r="B937" s="3" t="s">
        <v>98</v>
      </c>
      <c r="C937" s="4" t="s">
        <v>177</v>
      </c>
      <c r="D937" s="2" t="s">
        <v>178</v>
      </c>
      <c r="E937" s="2" t="s">
        <v>179</v>
      </c>
      <c r="F937" s="2" t="s">
        <v>180</v>
      </c>
    </row>
    <row r="938" spans="1:6">
      <c r="A938" s="3" t="s">
        <v>1854</v>
      </c>
      <c r="B938" s="3" t="s">
        <v>98</v>
      </c>
      <c r="C938" s="4" t="s">
        <v>181</v>
      </c>
      <c r="D938" s="2" t="s">
        <v>182</v>
      </c>
      <c r="E938" s="2" t="s">
        <v>183</v>
      </c>
      <c r="F938" s="2" t="s">
        <v>184</v>
      </c>
    </row>
    <row r="939" spans="1:6">
      <c r="A939" s="3" t="s">
        <v>1854</v>
      </c>
      <c r="B939" s="3" t="s">
        <v>98</v>
      </c>
      <c r="C939" s="4" t="s">
        <v>800</v>
      </c>
      <c r="D939" s="2" t="s">
        <v>71</v>
      </c>
      <c r="E939" s="2" t="s">
        <v>801</v>
      </c>
      <c r="F939" s="2" t="s">
        <v>802</v>
      </c>
    </row>
    <row r="940" spans="1:6">
      <c r="A940" s="3" t="s">
        <v>1854</v>
      </c>
      <c r="B940" s="3" t="s">
        <v>98</v>
      </c>
      <c r="C940" s="4" t="s">
        <v>803</v>
      </c>
      <c r="D940" s="2" t="s">
        <v>804</v>
      </c>
      <c r="E940" s="2" t="s">
        <v>805</v>
      </c>
      <c r="F940" s="2" t="s">
        <v>806</v>
      </c>
    </row>
    <row r="941" spans="1:6">
      <c r="A941" s="3" t="s">
        <v>1854</v>
      </c>
      <c r="B941" s="3" t="s">
        <v>98</v>
      </c>
      <c r="C941" s="4" t="s">
        <v>1649</v>
      </c>
      <c r="D941" s="2" t="s">
        <v>1650</v>
      </c>
      <c r="E941" s="2" t="s">
        <v>1651</v>
      </c>
      <c r="F941" s="2" t="s">
        <v>1650</v>
      </c>
    </row>
    <row r="942" spans="1:6">
      <c r="A942" s="3" t="s">
        <v>1854</v>
      </c>
      <c r="B942" s="3" t="s">
        <v>98</v>
      </c>
      <c r="C942" s="4" t="s">
        <v>185</v>
      </c>
      <c r="D942" s="2" t="s">
        <v>186</v>
      </c>
      <c r="E942" s="2" t="s">
        <v>187</v>
      </c>
      <c r="F942" s="2" t="s">
        <v>188</v>
      </c>
    </row>
    <row r="943" spans="1:6">
      <c r="A943" s="3" t="s">
        <v>1854</v>
      </c>
      <c r="B943" s="3" t="s">
        <v>98</v>
      </c>
      <c r="C943" s="4" t="s">
        <v>1652</v>
      </c>
      <c r="D943" s="2" t="s">
        <v>1653</v>
      </c>
      <c r="E943" s="2" t="s">
        <v>1654</v>
      </c>
      <c r="F943" s="2" t="s">
        <v>1655</v>
      </c>
    </row>
    <row r="944" spans="1:6">
      <c r="A944" s="3" t="s">
        <v>1854</v>
      </c>
      <c r="B944" s="3" t="s">
        <v>98</v>
      </c>
      <c r="C944" s="4" t="s">
        <v>1656</v>
      </c>
      <c r="D944" s="2" t="s">
        <v>1657</v>
      </c>
      <c r="E944" s="2" t="s">
        <v>1658</v>
      </c>
      <c r="F944" s="2" t="s">
        <v>1659</v>
      </c>
    </row>
    <row r="945" spans="1:6">
      <c r="A945" s="3" t="s">
        <v>1854</v>
      </c>
      <c r="B945" s="3" t="s">
        <v>98</v>
      </c>
      <c r="C945" s="4" t="s">
        <v>189</v>
      </c>
      <c r="D945" s="2" t="s">
        <v>190</v>
      </c>
      <c r="E945" s="2" t="s">
        <v>191</v>
      </c>
      <c r="F945" s="2" t="s">
        <v>192</v>
      </c>
    </row>
    <row r="946" spans="1:6">
      <c r="A946" s="3" t="s">
        <v>1854</v>
      </c>
      <c r="B946" s="3" t="s">
        <v>98</v>
      </c>
      <c r="C946" s="4" t="s">
        <v>1660</v>
      </c>
      <c r="D946" s="2" t="s">
        <v>1661</v>
      </c>
      <c r="E946" s="2" t="s">
        <v>1662</v>
      </c>
      <c r="F946" s="2" t="s">
        <v>1663</v>
      </c>
    </row>
    <row r="947" spans="1:6">
      <c r="A947" s="3" t="s">
        <v>1854</v>
      </c>
      <c r="B947" s="3" t="s">
        <v>98</v>
      </c>
      <c r="C947" s="4" t="s">
        <v>1664</v>
      </c>
      <c r="D947" s="2" t="s">
        <v>1665</v>
      </c>
      <c r="E947" s="2" t="s">
        <v>1666</v>
      </c>
      <c r="F947" s="2" t="s">
        <v>1667</v>
      </c>
    </row>
    <row r="948" spans="1:6">
      <c r="A948" s="3" t="s">
        <v>1854</v>
      </c>
      <c r="B948" s="3" t="s">
        <v>98</v>
      </c>
      <c r="C948" s="4" t="s">
        <v>1668</v>
      </c>
      <c r="D948" s="2" t="s">
        <v>1669</v>
      </c>
      <c r="E948" s="2" t="s">
        <v>1670</v>
      </c>
      <c r="F948" s="2" t="s">
        <v>1671</v>
      </c>
    </row>
    <row r="949" spans="1:6">
      <c r="A949" s="3" t="s">
        <v>1854</v>
      </c>
      <c r="B949" s="3" t="s">
        <v>98</v>
      </c>
      <c r="C949" s="4" t="s">
        <v>1672</v>
      </c>
      <c r="D949" s="2" t="s">
        <v>1673</v>
      </c>
      <c r="E949" s="2" t="s">
        <v>1674</v>
      </c>
      <c r="F949" s="2" t="s">
        <v>1675</v>
      </c>
    </row>
    <row r="950" spans="1:6">
      <c r="A950" s="3" t="s">
        <v>1854</v>
      </c>
      <c r="B950" s="3" t="s">
        <v>98</v>
      </c>
      <c r="C950" s="4" t="s">
        <v>197</v>
      </c>
      <c r="D950" s="2" t="s">
        <v>198</v>
      </c>
      <c r="E950" s="2" t="s">
        <v>199</v>
      </c>
      <c r="F950" s="2" t="s">
        <v>200</v>
      </c>
    </row>
    <row r="951" spans="1:6">
      <c r="A951" s="3" t="s">
        <v>1854</v>
      </c>
      <c r="B951" s="3" t="s">
        <v>98</v>
      </c>
      <c r="C951" s="4" t="s">
        <v>1676</v>
      </c>
      <c r="D951" s="2" t="s">
        <v>1677</v>
      </c>
      <c r="E951" s="2" t="s">
        <v>1678</v>
      </c>
      <c r="F951" s="2" t="s">
        <v>1679</v>
      </c>
    </row>
    <row r="952" spans="1:6">
      <c r="A952" s="3" t="s">
        <v>1854</v>
      </c>
      <c r="B952" s="3" t="s">
        <v>98</v>
      </c>
      <c r="C952" s="4" t="s">
        <v>1680</v>
      </c>
      <c r="D952" s="2" t="s">
        <v>1681</v>
      </c>
      <c r="E952" s="2" t="s">
        <v>1682</v>
      </c>
      <c r="F952" s="2" t="s">
        <v>1683</v>
      </c>
    </row>
    <row r="953" spans="1:6">
      <c r="A953" s="3" t="s">
        <v>1854</v>
      </c>
      <c r="B953" s="3" t="s">
        <v>98</v>
      </c>
      <c r="C953" s="4" t="s">
        <v>1684</v>
      </c>
      <c r="D953" s="2" t="s">
        <v>1685</v>
      </c>
      <c r="E953" s="2" t="s">
        <v>1686</v>
      </c>
      <c r="F953" s="2" t="s">
        <v>1687</v>
      </c>
    </row>
    <row r="954" spans="1:6">
      <c r="A954" s="3" t="s">
        <v>1854</v>
      </c>
      <c r="B954" s="3" t="s">
        <v>98</v>
      </c>
      <c r="C954" s="4" t="s">
        <v>1688</v>
      </c>
      <c r="D954" s="2" t="s">
        <v>1689</v>
      </c>
      <c r="E954" s="2" t="s">
        <v>1690</v>
      </c>
      <c r="F954" s="2" t="s">
        <v>1691</v>
      </c>
    </row>
    <row r="955" spans="1:6">
      <c r="A955" s="3" t="s">
        <v>1854</v>
      </c>
      <c r="B955" s="3" t="s">
        <v>98</v>
      </c>
      <c r="C955" s="4" t="s">
        <v>1692</v>
      </c>
      <c r="D955" s="2" t="s">
        <v>1693</v>
      </c>
      <c r="E955" s="2" t="s">
        <v>1694</v>
      </c>
      <c r="F955" s="2" t="s">
        <v>1695</v>
      </c>
    </row>
    <row r="956" spans="1:6">
      <c r="A956" s="3" t="s">
        <v>1854</v>
      </c>
      <c r="B956" s="3" t="s">
        <v>98</v>
      </c>
      <c r="C956" s="4" t="s">
        <v>1696</v>
      </c>
      <c r="D956" s="2" t="s">
        <v>1697</v>
      </c>
      <c r="E956" s="2" t="s">
        <v>1698</v>
      </c>
      <c r="F956" s="2" t="s">
        <v>1699</v>
      </c>
    </row>
    <row r="957" spans="1:6">
      <c r="A957" s="3" t="s">
        <v>1854</v>
      </c>
      <c r="B957" s="3" t="s">
        <v>98</v>
      </c>
      <c r="C957" s="4" t="s">
        <v>1700</v>
      </c>
      <c r="D957" s="2" t="s">
        <v>1701</v>
      </c>
      <c r="E957" s="2" t="s">
        <v>1702</v>
      </c>
      <c r="F957" s="2" t="s">
        <v>1703</v>
      </c>
    </row>
    <row r="958" spans="1:6">
      <c r="A958" s="3" t="s">
        <v>1854</v>
      </c>
      <c r="B958" s="3" t="s">
        <v>98</v>
      </c>
      <c r="C958" s="4" t="s">
        <v>1704</v>
      </c>
      <c r="D958" s="2" t="s">
        <v>1705</v>
      </c>
      <c r="E958" s="2" t="s">
        <v>1706</v>
      </c>
      <c r="F958" s="2" t="s">
        <v>1707</v>
      </c>
    </row>
    <row r="959" spans="1:6">
      <c r="A959" s="3" t="s">
        <v>1854</v>
      </c>
      <c r="B959" s="3" t="s">
        <v>98</v>
      </c>
      <c r="C959" s="4" t="s">
        <v>1708</v>
      </c>
      <c r="D959" s="2" t="s">
        <v>1709</v>
      </c>
      <c r="E959" s="2" t="s">
        <v>1710</v>
      </c>
      <c r="F959" s="2" t="s">
        <v>1711</v>
      </c>
    </row>
    <row r="960" spans="1:6">
      <c r="A960" s="3" t="s">
        <v>1854</v>
      </c>
      <c r="B960" s="3" t="s">
        <v>98</v>
      </c>
      <c r="C960" s="4" t="s">
        <v>1712</v>
      </c>
      <c r="D960" s="2" t="s">
        <v>1713</v>
      </c>
      <c r="E960" s="2" t="s">
        <v>1714</v>
      </c>
      <c r="F960" s="2" t="s">
        <v>1715</v>
      </c>
    </row>
    <row r="961" spans="1:6">
      <c r="A961" s="3" t="s">
        <v>1854</v>
      </c>
      <c r="B961" s="3" t="s">
        <v>98</v>
      </c>
      <c r="C961" s="4" t="s">
        <v>1716</v>
      </c>
      <c r="D961" s="2" t="s">
        <v>1717</v>
      </c>
      <c r="E961" s="2" t="s">
        <v>1718</v>
      </c>
      <c r="F961" s="2" t="s">
        <v>1719</v>
      </c>
    </row>
    <row r="962" spans="1:6">
      <c r="A962" s="3" t="s">
        <v>1854</v>
      </c>
      <c r="B962" s="3" t="s">
        <v>98</v>
      </c>
      <c r="C962" s="4" t="s">
        <v>1720</v>
      </c>
      <c r="D962" s="2" t="s">
        <v>1721</v>
      </c>
      <c r="E962" s="2" t="s">
        <v>1722</v>
      </c>
      <c r="F962" s="2" t="s">
        <v>1723</v>
      </c>
    </row>
    <row r="963" spans="1:6">
      <c r="A963" s="3" t="s">
        <v>1854</v>
      </c>
      <c r="B963" s="3" t="s">
        <v>98</v>
      </c>
      <c r="C963" s="4" t="s">
        <v>1724</v>
      </c>
      <c r="D963" s="2" t="s">
        <v>1725</v>
      </c>
      <c r="E963" s="2" t="s">
        <v>1726</v>
      </c>
      <c r="F963" s="2" t="s">
        <v>1727</v>
      </c>
    </row>
    <row r="964" spans="1:6">
      <c r="A964" s="3" t="s">
        <v>1854</v>
      </c>
      <c r="B964" s="3" t="s">
        <v>98</v>
      </c>
      <c r="C964" s="4" t="s">
        <v>1728</v>
      </c>
      <c r="D964" s="2" t="s">
        <v>1729</v>
      </c>
      <c r="E964" s="2" t="s">
        <v>1730</v>
      </c>
      <c r="F964" s="2" t="s">
        <v>1731</v>
      </c>
    </row>
    <row r="965" spans="1:6">
      <c r="A965" s="3" t="s">
        <v>1854</v>
      </c>
      <c r="B965" s="3" t="s">
        <v>98</v>
      </c>
      <c r="C965" s="4" t="s">
        <v>1732</v>
      </c>
      <c r="D965" s="2" t="s">
        <v>1733</v>
      </c>
      <c r="E965" s="2" t="s">
        <v>1734</v>
      </c>
      <c r="F965" s="2" t="s">
        <v>1735</v>
      </c>
    </row>
    <row r="966" spans="1:6">
      <c r="A966" s="3" t="s">
        <v>1854</v>
      </c>
      <c r="B966" s="3" t="s">
        <v>98</v>
      </c>
      <c r="C966" s="4" t="s">
        <v>1736</v>
      </c>
      <c r="D966" s="2" t="s">
        <v>1737</v>
      </c>
      <c r="E966" s="2" t="s">
        <v>1738</v>
      </c>
      <c r="F966" s="2" t="s">
        <v>1739</v>
      </c>
    </row>
    <row r="967" spans="1:6">
      <c r="A967" s="3" t="s">
        <v>1854</v>
      </c>
      <c r="B967" s="3" t="s">
        <v>98</v>
      </c>
      <c r="C967" s="4" t="s">
        <v>1740</v>
      </c>
      <c r="D967" s="2" t="s">
        <v>1741</v>
      </c>
      <c r="E967" s="2" t="s">
        <v>1742</v>
      </c>
      <c r="F967" s="2" t="s">
        <v>1743</v>
      </c>
    </row>
    <row r="968" spans="1:6">
      <c r="A968" s="3" t="s">
        <v>1854</v>
      </c>
      <c r="B968" s="3" t="s">
        <v>98</v>
      </c>
      <c r="C968" s="4" t="s">
        <v>1744</v>
      </c>
      <c r="D968" s="2" t="s">
        <v>1745</v>
      </c>
      <c r="E968" s="2" t="s">
        <v>1746</v>
      </c>
      <c r="F968" s="2" t="s">
        <v>1747</v>
      </c>
    </row>
    <row r="969" spans="1:6">
      <c r="A969" s="3" t="s">
        <v>1854</v>
      </c>
      <c r="B969" s="3" t="s">
        <v>98</v>
      </c>
      <c r="C969" s="4" t="s">
        <v>1748</v>
      </c>
      <c r="D969" s="2" t="s">
        <v>1749</v>
      </c>
      <c r="E969" s="2" t="s">
        <v>1750</v>
      </c>
      <c r="F969" s="2" t="s">
        <v>1751</v>
      </c>
    </row>
    <row r="970" spans="1:6">
      <c r="A970" s="3" t="s">
        <v>1854</v>
      </c>
      <c r="B970" s="3" t="s">
        <v>98</v>
      </c>
      <c r="C970" s="4" t="s">
        <v>1752</v>
      </c>
      <c r="D970" s="2" t="s">
        <v>1753</v>
      </c>
      <c r="E970" s="2" t="s">
        <v>1754</v>
      </c>
      <c r="F970" s="2" t="s">
        <v>1755</v>
      </c>
    </row>
    <row r="971" spans="1:6">
      <c r="A971" s="3" t="s">
        <v>1854</v>
      </c>
      <c r="B971" s="3" t="s">
        <v>98</v>
      </c>
      <c r="C971" s="4" t="s">
        <v>1756</v>
      </c>
      <c r="D971" s="2" t="s">
        <v>1757</v>
      </c>
      <c r="E971" s="2" t="s">
        <v>1758</v>
      </c>
      <c r="F971" s="2" t="s">
        <v>1759</v>
      </c>
    </row>
    <row r="972" spans="1:6">
      <c r="A972" s="3" t="s">
        <v>1854</v>
      </c>
      <c r="B972" s="3" t="s">
        <v>98</v>
      </c>
      <c r="C972" s="4" t="s">
        <v>1760</v>
      </c>
      <c r="D972" s="2" t="s">
        <v>1761</v>
      </c>
      <c r="E972" s="2" t="s">
        <v>1762</v>
      </c>
      <c r="F972" s="2" t="s">
        <v>1763</v>
      </c>
    </row>
    <row r="973" spans="1:6">
      <c r="A973" s="3" t="s">
        <v>1854</v>
      </c>
      <c r="B973" s="3" t="s">
        <v>98</v>
      </c>
      <c r="C973" s="4" t="s">
        <v>1764</v>
      </c>
      <c r="D973" s="2" t="s">
        <v>1765</v>
      </c>
      <c r="E973" s="2" t="s">
        <v>1766</v>
      </c>
      <c r="F973" s="2" t="s">
        <v>1767</v>
      </c>
    </row>
    <row r="974" spans="1:6">
      <c r="A974" s="3" t="s">
        <v>1854</v>
      </c>
      <c r="B974" s="3" t="s">
        <v>98</v>
      </c>
      <c r="C974" s="4" t="s">
        <v>1768</v>
      </c>
      <c r="D974" s="2" t="s">
        <v>1769</v>
      </c>
      <c r="E974" s="2" t="s">
        <v>1770</v>
      </c>
      <c r="F974" s="2" t="s">
        <v>1771</v>
      </c>
    </row>
    <row r="975" spans="1:6">
      <c r="A975" s="3" t="s">
        <v>1854</v>
      </c>
      <c r="B975" s="3" t="s">
        <v>98</v>
      </c>
      <c r="C975" s="4" t="s">
        <v>1772</v>
      </c>
      <c r="D975" s="2" t="s">
        <v>1773</v>
      </c>
      <c r="E975" s="2" t="s">
        <v>1774</v>
      </c>
      <c r="F975" s="2" t="s">
        <v>1775</v>
      </c>
    </row>
    <row r="976" spans="1:6">
      <c r="A976" s="3" t="s">
        <v>1854</v>
      </c>
      <c r="B976" s="3" t="s">
        <v>98</v>
      </c>
      <c r="C976" s="4" t="s">
        <v>1776</v>
      </c>
      <c r="D976" s="2" t="s">
        <v>1777</v>
      </c>
      <c r="E976" s="2" t="s">
        <v>1778</v>
      </c>
      <c r="F976" s="2" t="s">
        <v>1779</v>
      </c>
    </row>
    <row r="977" spans="1:6">
      <c r="A977" s="3" t="s">
        <v>1854</v>
      </c>
      <c r="B977" s="3" t="s">
        <v>98</v>
      </c>
      <c r="C977" s="4" t="s">
        <v>1780</v>
      </c>
      <c r="D977" s="2" t="s">
        <v>1781</v>
      </c>
      <c r="E977" s="2" t="s">
        <v>1782</v>
      </c>
      <c r="F977" s="2" t="s">
        <v>1783</v>
      </c>
    </row>
    <row r="978" spans="1:6">
      <c r="A978" s="3" t="s">
        <v>1854</v>
      </c>
      <c r="B978" s="3" t="s">
        <v>98</v>
      </c>
      <c r="C978" s="4" t="s">
        <v>1784</v>
      </c>
      <c r="D978" s="2" t="s">
        <v>1785</v>
      </c>
      <c r="E978" s="2" t="s">
        <v>1786</v>
      </c>
      <c r="F978" s="2" t="s">
        <v>1787</v>
      </c>
    </row>
    <row r="979" spans="1:6">
      <c r="A979" s="3" t="s">
        <v>1854</v>
      </c>
      <c r="B979" s="3" t="s">
        <v>98</v>
      </c>
      <c r="C979" s="4" t="s">
        <v>1788</v>
      </c>
      <c r="D979" s="2" t="s">
        <v>1789</v>
      </c>
      <c r="E979" s="2" t="s">
        <v>1790</v>
      </c>
      <c r="F979" s="2" t="s">
        <v>1791</v>
      </c>
    </row>
    <row r="980" spans="1:6">
      <c r="A980" s="3" t="s">
        <v>1854</v>
      </c>
      <c r="B980" s="3" t="s">
        <v>98</v>
      </c>
      <c r="C980" s="4" t="s">
        <v>1792</v>
      </c>
      <c r="D980" s="2" t="s">
        <v>1793</v>
      </c>
      <c r="E980" s="2" t="s">
        <v>1794</v>
      </c>
      <c r="F980" s="2" t="s">
        <v>1795</v>
      </c>
    </row>
    <row r="981" spans="1:6">
      <c r="A981" s="3" t="s">
        <v>1854</v>
      </c>
      <c r="B981" s="3" t="s">
        <v>98</v>
      </c>
      <c r="C981" s="4" t="s">
        <v>1796</v>
      </c>
      <c r="D981" s="2" t="s">
        <v>1797</v>
      </c>
      <c r="E981" s="2" t="s">
        <v>1798</v>
      </c>
      <c r="F981" s="2" t="s">
        <v>1799</v>
      </c>
    </row>
    <row r="982" spans="1:6">
      <c r="A982" s="3" t="s">
        <v>1854</v>
      </c>
      <c r="B982" s="3" t="s">
        <v>98</v>
      </c>
      <c r="C982" s="4" t="s">
        <v>1800</v>
      </c>
      <c r="D982" s="2" t="s">
        <v>1801</v>
      </c>
      <c r="E982" s="2" t="s">
        <v>1802</v>
      </c>
      <c r="F982" s="2" t="s">
        <v>1803</v>
      </c>
    </row>
    <row r="983" spans="1:6">
      <c r="A983" s="3" t="s">
        <v>1854</v>
      </c>
      <c r="B983" s="3" t="s">
        <v>98</v>
      </c>
      <c r="C983" s="4" t="s">
        <v>1804</v>
      </c>
      <c r="D983" s="2" t="s">
        <v>1805</v>
      </c>
      <c r="E983" s="2" t="s">
        <v>1806</v>
      </c>
      <c r="F983" s="2" t="s">
        <v>1807</v>
      </c>
    </row>
    <row r="984" spans="1:6">
      <c r="A984" s="3" t="s">
        <v>1854</v>
      </c>
      <c r="B984" s="3" t="s">
        <v>98</v>
      </c>
      <c r="C984" s="4" t="s">
        <v>1808</v>
      </c>
      <c r="D984" s="2" t="s">
        <v>1809</v>
      </c>
      <c r="E984" s="2" t="s">
        <v>1810</v>
      </c>
      <c r="F984" s="2" t="s">
        <v>1811</v>
      </c>
    </row>
    <row r="985" spans="1:6">
      <c r="A985" s="3" t="s">
        <v>1854</v>
      </c>
      <c r="B985" s="3" t="s">
        <v>98</v>
      </c>
      <c r="C985" s="4" t="s">
        <v>1812</v>
      </c>
      <c r="D985" s="2" t="s">
        <v>1813</v>
      </c>
      <c r="E985" s="2" t="s">
        <v>1814</v>
      </c>
      <c r="F985" s="2" t="s">
        <v>1815</v>
      </c>
    </row>
    <row r="986" spans="1:6">
      <c r="A986" s="3" t="s">
        <v>1854</v>
      </c>
      <c r="B986" s="3" t="s">
        <v>98</v>
      </c>
      <c r="C986" s="4" t="s">
        <v>1816</v>
      </c>
      <c r="D986" s="2" t="s">
        <v>1817</v>
      </c>
      <c r="E986" s="2" t="s">
        <v>1818</v>
      </c>
      <c r="F986" s="2" t="s">
        <v>1819</v>
      </c>
    </row>
    <row r="987" spans="1:6">
      <c r="A987" s="3" t="s">
        <v>1854</v>
      </c>
      <c r="B987" s="3" t="s">
        <v>98</v>
      </c>
      <c r="C987" s="4" t="s">
        <v>1820</v>
      </c>
      <c r="D987" s="2" t="s">
        <v>1821</v>
      </c>
      <c r="E987" s="2" t="s">
        <v>1822</v>
      </c>
      <c r="F987" s="2" t="s">
        <v>1823</v>
      </c>
    </row>
    <row r="988" spans="1:6">
      <c r="A988" s="3" t="s">
        <v>1854</v>
      </c>
      <c r="B988" s="3" t="s">
        <v>98</v>
      </c>
      <c r="C988" s="4" t="s">
        <v>1824</v>
      </c>
      <c r="D988" s="2" t="s">
        <v>1825</v>
      </c>
      <c r="E988" s="2" t="s">
        <v>1826</v>
      </c>
      <c r="F988" s="2" t="s">
        <v>1827</v>
      </c>
    </row>
    <row r="989" spans="1:6">
      <c r="A989" s="3" t="s">
        <v>1854</v>
      </c>
      <c r="B989" s="3" t="s">
        <v>98</v>
      </c>
      <c r="C989" s="4" t="s">
        <v>1863</v>
      </c>
      <c r="D989" s="2" t="s">
        <v>1864</v>
      </c>
      <c r="E989" s="2" t="s">
        <v>1865</v>
      </c>
      <c r="F989" s="2" t="s">
        <v>1864</v>
      </c>
    </row>
    <row r="990" spans="1:6">
      <c r="A990" s="3" t="s">
        <v>1854</v>
      </c>
      <c r="B990" s="3" t="s">
        <v>98</v>
      </c>
      <c r="C990" s="4" t="s">
        <v>1866</v>
      </c>
      <c r="D990" s="2" t="s">
        <v>1867</v>
      </c>
      <c r="E990" s="2" t="s">
        <v>1868</v>
      </c>
      <c r="F990" s="2" t="s">
        <v>1869</v>
      </c>
    </row>
    <row r="991" spans="1:6">
      <c r="A991" s="3" t="s">
        <v>1854</v>
      </c>
      <c r="B991" s="3" t="s">
        <v>98</v>
      </c>
      <c r="C991" s="4" t="s">
        <v>1870</v>
      </c>
      <c r="D991" s="2" t="s">
        <v>1871</v>
      </c>
      <c r="E991" s="2" t="s">
        <v>1872</v>
      </c>
      <c r="F991" s="2" t="s">
        <v>1873</v>
      </c>
    </row>
    <row r="992" spans="1:6">
      <c r="A992" s="3" t="s">
        <v>1854</v>
      </c>
      <c r="B992" s="3" t="s">
        <v>98</v>
      </c>
      <c r="C992" s="4" t="s">
        <v>1874</v>
      </c>
      <c r="D992" s="2" t="s">
        <v>1875</v>
      </c>
      <c r="E992" s="2" t="s">
        <v>1876</v>
      </c>
      <c r="F992" s="2" t="s">
        <v>1877</v>
      </c>
    </row>
    <row r="993" spans="1:6">
      <c r="A993" s="3" t="s">
        <v>1854</v>
      </c>
      <c r="B993" s="3" t="s">
        <v>98</v>
      </c>
      <c r="C993" s="4" t="s">
        <v>1878</v>
      </c>
      <c r="D993" s="2" t="s">
        <v>1879</v>
      </c>
      <c r="E993" s="2" t="s">
        <v>1880</v>
      </c>
      <c r="F993" s="2" t="s">
        <v>1881</v>
      </c>
    </row>
    <row r="994" spans="1:6">
      <c r="A994" s="3" t="s">
        <v>1854</v>
      </c>
      <c r="B994" s="3" t="s">
        <v>98</v>
      </c>
      <c r="C994" s="4" t="s">
        <v>1882</v>
      </c>
      <c r="D994" s="2" t="s">
        <v>1883</v>
      </c>
      <c r="E994" s="2" t="s">
        <v>1884</v>
      </c>
      <c r="F994" s="2" t="s">
        <v>1885</v>
      </c>
    </row>
    <row r="995" spans="1:6">
      <c r="A995" s="3" t="s">
        <v>1854</v>
      </c>
      <c r="B995" s="3" t="s">
        <v>98</v>
      </c>
      <c r="C995" s="4" t="s">
        <v>1886</v>
      </c>
      <c r="D995" s="2" t="s">
        <v>1887</v>
      </c>
      <c r="E995" s="2" t="s">
        <v>1888</v>
      </c>
      <c r="F995" s="2" t="s">
        <v>1889</v>
      </c>
    </row>
    <row r="996" spans="1:6">
      <c r="A996" s="3" t="s">
        <v>1854</v>
      </c>
      <c r="B996" s="3" t="s">
        <v>98</v>
      </c>
      <c r="C996" s="4" t="s">
        <v>1890</v>
      </c>
      <c r="D996" s="2" t="s">
        <v>1891</v>
      </c>
      <c r="E996" s="2" t="s">
        <v>1892</v>
      </c>
      <c r="F996" s="2" t="s">
        <v>1893</v>
      </c>
    </row>
    <row r="997" spans="1:6">
      <c r="A997" s="3" t="s">
        <v>1894</v>
      </c>
      <c r="B997" s="3" t="s">
        <v>99</v>
      </c>
      <c r="C997" s="4" t="s">
        <v>116</v>
      </c>
      <c r="D997" s="2" t="s">
        <v>67</v>
      </c>
      <c r="E997" s="2" t="s">
        <v>117</v>
      </c>
      <c r="F997" s="2" t="s">
        <v>118</v>
      </c>
    </row>
    <row r="998" spans="1:6">
      <c r="A998" s="3" t="s">
        <v>1894</v>
      </c>
      <c r="B998" s="3" t="s">
        <v>99</v>
      </c>
      <c r="C998" s="4" t="s">
        <v>119</v>
      </c>
      <c r="D998" s="2" t="s">
        <v>69</v>
      </c>
      <c r="E998" s="2" t="s">
        <v>63</v>
      </c>
      <c r="F998" s="2" t="s">
        <v>120</v>
      </c>
    </row>
    <row r="999" spans="1:6">
      <c r="A999" s="3" t="s">
        <v>1894</v>
      </c>
      <c r="B999" s="3" t="s">
        <v>99</v>
      </c>
      <c r="C999" s="4" t="s">
        <v>129</v>
      </c>
      <c r="D999" s="2" t="s">
        <v>73</v>
      </c>
      <c r="E999" s="2" t="s">
        <v>130</v>
      </c>
      <c r="F999" s="2" t="s">
        <v>131</v>
      </c>
    </row>
    <row r="1000" spans="1:6">
      <c r="A1000" s="3" t="s">
        <v>1894</v>
      </c>
      <c r="B1000" s="3" t="s">
        <v>99</v>
      </c>
      <c r="C1000" s="4" t="s">
        <v>132</v>
      </c>
      <c r="D1000" s="2" t="s">
        <v>70</v>
      </c>
      <c r="E1000" s="2" t="s">
        <v>133</v>
      </c>
      <c r="F1000" s="2" t="s">
        <v>134</v>
      </c>
    </row>
    <row r="1001" spans="1:6">
      <c r="A1001" s="3" t="s">
        <v>1894</v>
      </c>
      <c r="B1001" s="3" t="s">
        <v>99</v>
      </c>
      <c r="C1001" s="4" t="s">
        <v>135</v>
      </c>
      <c r="D1001" s="2" t="s">
        <v>136</v>
      </c>
      <c r="E1001" s="2" t="s">
        <v>137</v>
      </c>
      <c r="F1001" s="2" t="s">
        <v>138</v>
      </c>
    </row>
    <row r="1002" spans="1:6">
      <c r="A1002" s="3" t="s">
        <v>1894</v>
      </c>
      <c r="B1002" s="3" t="s">
        <v>99</v>
      </c>
      <c r="C1002" s="4" t="s">
        <v>139</v>
      </c>
      <c r="D1002" s="2" t="s">
        <v>139</v>
      </c>
      <c r="E1002" s="2" t="s">
        <v>140</v>
      </c>
      <c r="F1002" s="2" t="s">
        <v>141</v>
      </c>
    </row>
    <row r="1003" spans="1:6">
      <c r="A1003" s="3" t="s">
        <v>1894</v>
      </c>
      <c r="B1003" s="3" t="s">
        <v>99</v>
      </c>
      <c r="C1003" s="4" t="s">
        <v>142</v>
      </c>
      <c r="D1003" s="2" t="s">
        <v>143</v>
      </c>
      <c r="E1003" s="2" t="s">
        <v>144</v>
      </c>
      <c r="F1003" s="2" t="s">
        <v>145</v>
      </c>
    </row>
    <row r="1004" spans="1:6">
      <c r="A1004" s="3" t="s">
        <v>1894</v>
      </c>
      <c r="B1004" s="3" t="s">
        <v>99</v>
      </c>
      <c r="C1004" s="4" t="s">
        <v>146</v>
      </c>
      <c r="D1004" s="2" t="s">
        <v>147</v>
      </c>
      <c r="E1004" s="2" t="s">
        <v>148</v>
      </c>
      <c r="F1004" s="2" t="s">
        <v>149</v>
      </c>
    </row>
    <row r="1005" spans="1:6">
      <c r="A1005" s="3" t="s">
        <v>1894</v>
      </c>
      <c r="B1005" s="3" t="s">
        <v>99</v>
      </c>
      <c r="C1005" s="4" t="s">
        <v>164</v>
      </c>
      <c r="D1005" s="2" t="s">
        <v>60</v>
      </c>
      <c r="E1005" s="2" t="s">
        <v>165</v>
      </c>
      <c r="F1005" s="2" t="s">
        <v>166</v>
      </c>
    </row>
    <row r="1006" spans="1:6">
      <c r="A1006" s="3" t="s">
        <v>1894</v>
      </c>
      <c r="B1006" s="3" t="s">
        <v>99</v>
      </c>
      <c r="C1006" s="4" t="s">
        <v>167</v>
      </c>
      <c r="D1006" s="2" t="s">
        <v>61</v>
      </c>
      <c r="E1006" s="2" t="s">
        <v>168</v>
      </c>
      <c r="F1006" s="2" t="s">
        <v>169</v>
      </c>
    </row>
    <row r="1007" spans="1:6">
      <c r="A1007" s="3" t="s">
        <v>1894</v>
      </c>
      <c r="B1007" s="3" t="s">
        <v>99</v>
      </c>
      <c r="C1007" s="4" t="s">
        <v>170</v>
      </c>
      <c r="D1007" s="2" t="s">
        <v>68</v>
      </c>
      <c r="E1007" s="2" t="s">
        <v>171</v>
      </c>
      <c r="F1007" s="2" t="s">
        <v>172</v>
      </c>
    </row>
    <row r="1008" spans="1:6">
      <c r="A1008" s="3" t="s">
        <v>1894</v>
      </c>
      <c r="B1008" s="3" t="s">
        <v>99</v>
      </c>
      <c r="C1008" s="4" t="s">
        <v>173</v>
      </c>
      <c r="D1008" s="2" t="s">
        <v>174</v>
      </c>
      <c r="E1008" s="2" t="s">
        <v>175</v>
      </c>
      <c r="F1008" s="2" t="s">
        <v>176</v>
      </c>
    </row>
    <row r="1009" spans="1:6">
      <c r="A1009" s="3" t="s">
        <v>1894</v>
      </c>
      <c r="B1009" s="3" t="s">
        <v>99</v>
      </c>
      <c r="C1009" s="4" t="s">
        <v>797</v>
      </c>
      <c r="D1009" s="2" t="s">
        <v>798</v>
      </c>
      <c r="E1009" s="2" t="s">
        <v>799</v>
      </c>
      <c r="F1009" s="2" t="s">
        <v>798</v>
      </c>
    </row>
    <row r="1010" spans="1:6">
      <c r="A1010" s="3" t="s">
        <v>1894</v>
      </c>
      <c r="B1010" s="3" t="s">
        <v>99</v>
      </c>
      <c r="C1010" s="4" t="s">
        <v>177</v>
      </c>
      <c r="D1010" s="2" t="s">
        <v>178</v>
      </c>
      <c r="E1010" s="2" t="s">
        <v>179</v>
      </c>
      <c r="F1010" s="2" t="s">
        <v>180</v>
      </c>
    </row>
    <row r="1011" spans="1:6">
      <c r="A1011" s="3" t="s">
        <v>1894</v>
      </c>
      <c r="B1011" s="3" t="s">
        <v>99</v>
      </c>
      <c r="C1011" s="4" t="s">
        <v>181</v>
      </c>
      <c r="D1011" s="2" t="s">
        <v>182</v>
      </c>
      <c r="E1011" s="2" t="s">
        <v>183</v>
      </c>
      <c r="F1011" s="2" t="s">
        <v>184</v>
      </c>
    </row>
    <row r="1012" spans="1:6">
      <c r="A1012" s="3" t="s">
        <v>1894</v>
      </c>
      <c r="B1012" s="3" t="s">
        <v>99</v>
      </c>
      <c r="C1012" s="4" t="s">
        <v>800</v>
      </c>
      <c r="D1012" s="2" t="s">
        <v>71</v>
      </c>
      <c r="E1012" s="2" t="s">
        <v>801</v>
      </c>
      <c r="F1012" s="2" t="s">
        <v>802</v>
      </c>
    </row>
    <row r="1013" spans="1:6">
      <c r="A1013" s="3" t="s">
        <v>1894</v>
      </c>
      <c r="B1013" s="3" t="s">
        <v>99</v>
      </c>
      <c r="C1013" s="4" t="s">
        <v>803</v>
      </c>
      <c r="D1013" s="2" t="s">
        <v>804</v>
      </c>
      <c r="E1013" s="2" t="s">
        <v>805</v>
      </c>
      <c r="F1013" s="2" t="s">
        <v>806</v>
      </c>
    </row>
    <row r="1014" spans="1:6">
      <c r="A1014" s="3" t="s">
        <v>1894</v>
      </c>
      <c r="B1014" s="3" t="s">
        <v>99</v>
      </c>
      <c r="C1014" s="4" t="s">
        <v>1649</v>
      </c>
      <c r="D1014" s="2" t="s">
        <v>1650</v>
      </c>
      <c r="E1014" s="2" t="s">
        <v>1651</v>
      </c>
      <c r="F1014" s="2" t="s">
        <v>1650</v>
      </c>
    </row>
    <row r="1015" spans="1:6">
      <c r="A1015" s="3" t="s">
        <v>1894</v>
      </c>
      <c r="B1015" s="3" t="s">
        <v>99</v>
      </c>
      <c r="C1015" s="4" t="s">
        <v>185</v>
      </c>
      <c r="D1015" s="2" t="s">
        <v>186</v>
      </c>
      <c r="E1015" s="2" t="s">
        <v>187</v>
      </c>
      <c r="F1015" s="2" t="s">
        <v>188</v>
      </c>
    </row>
    <row r="1016" spans="1:6">
      <c r="A1016" s="3" t="s">
        <v>1894</v>
      </c>
      <c r="B1016" s="3" t="s">
        <v>99</v>
      </c>
      <c r="C1016" s="4" t="s">
        <v>1652</v>
      </c>
      <c r="D1016" s="2" t="s">
        <v>1653</v>
      </c>
      <c r="E1016" s="2" t="s">
        <v>1654</v>
      </c>
      <c r="F1016" s="2" t="s">
        <v>1655</v>
      </c>
    </row>
    <row r="1017" spans="1:6">
      <c r="A1017" s="3" t="s">
        <v>1894</v>
      </c>
      <c r="B1017" s="3" t="s">
        <v>99</v>
      </c>
      <c r="C1017" s="4" t="s">
        <v>1656</v>
      </c>
      <c r="D1017" s="2" t="s">
        <v>1657</v>
      </c>
      <c r="E1017" s="2" t="s">
        <v>1658</v>
      </c>
      <c r="F1017" s="2" t="s">
        <v>1659</v>
      </c>
    </row>
    <row r="1018" spans="1:6">
      <c r="A1018" s="3" t="s">
        <v>1894</v>
      </c>
      <c r="B1018" s="3" t="s">
        <v>99</v>
      </c>
      <c r="C1018" s="4" t="s">
        <v>189</v>
      </c>
      <c r="D1018" s="2" t="s">
        <v>190</v>
      </c>
      <c r="E1018" s="2" t="s">
        <v>191</v>
      </c>
      <c r="F1018" s="2" t="s">
        <v>192</v>
      </c>
    </row>
    <row r="1019" spans="1:6">
      <c r="A1019" s="3" t="s">
        <v>1894</v>
      </c>
      <c r="B1019" s="3" t="s">
        <v>99</v>
      </c>
      <c r="C1019" s="4" t="s">
        <v>1660</v>
      </c>
      <c r="D1019" s="2" t="s">
        <v>1661</v>
      </c>
      <c r="E1019" s="2" t="s">
        <v>1662</v>
      </c>
      <c r="F1019" s="2" t="s">
        <v>1663</v>
      </c>
    </row>
    <row r="1020" spans="1:6">
      <c r="A1020" s="3" t="s">
        <v>1894</v>
      </c>
      <c r="B1020" s="3" t="s">
        <v>99</v>
      </c>
      <c r="C1020" s="4" t="s">
        <v>1664</v>
      </c>
      <c r="D1020" s="2" t="s">
        <v>1665</v>
      </c>
      <c r="E1020" s="2" t="s">
        <v>1666</v>
      </c>
      <c r="F1020" s="2" t="s">
        <v>1667</v>
      </c>
    </row>
    <row r="1021" spans="1:6">
      <c r="A1021" s="3" t="s">
        <v>1894</v>
      </c>
      <c r="B1021" s="3" t="s">
        <v>99</v>
      </c>
      <c r="C1021" s="4" t="s">
        <v>1668</v>
      </c>
      <c r="D1021" s="2" t="s">
        <v>1669</v>
      </c>
      <c r="E1021" s="2" t="s">
        <v>1670</v>
      </c>
      <c r="F1021" s="2" t="s">
        <v>1671</v>
      </c>
    </row>
    <row r="1022" spans="1:6">
      <c r="A1022" s="3" t="s">
        <v>1894</v>
      </c>
      <c r="B1022" s="3" t="s">
        <v>99</v>
      </c>
      <c r="C1022" s="4" t="s">
        <v>1672</v>
      </c>
      <c r="D1022" s="2" t="s">
        <v>1673</v>
      </c>
      <c r="E1022" s="2" t="s">
        <v>1674</v>
      </c>
      <c r="F1022" s="2" t="s">
        <v>1675</v>
      </c>
    </row>
    <row r="1023" spans="1:6">
      <c r="A1023" s="3" t="s">
        <v>1894</v>
      </c>
      <c r="B1023" s="3" t="s">
        <v>99</v>
      </c>
      <c r="C1023" s="4" t="s">
        <v>197</v>
      </c>
      <c r="D1023" s="2" t="s">
        <v>198</v>
      </c>
      <c r="E1023" s="2" t="s">
        <v>199</v>
      </c>
      <c r="F1023" s="2" t="s">
        <v>200</v>
      </c>
    </row>
    <row r="1024" spans="1:6">
      <c r="A1024" s="3" t="s">
        <v>1894</v>
      </c>
      <c r="B1024" s="3" t="s">
        <v>99</v>
      </c>
      <c r="C1024" s="4" t="s">
        <v>1676</v>
      </c>
      <c r="D1024" s="2" t="s">
        <v>1677</v>
      </c>
      <c r="E1024" s="2" t="s">
        <v>1678</v>
      </c>
      <c r="F1024" s="2" t="s">
        <v>1679</v>
      </c>
    </row>
    <row r="1025" spans="1:6">
      <c r="A1025" s="3" t="s">
        <v>1894</v>
      </c>
      <c r="B1025" s="3" t="s">
        <v>99</v>
      </c>
      <c r="C1025" s="4" t="s">
        <v>1680</v>
      </c>
      <c r="D1025" s="2" t="s">
        <v>1681</v>
      </c>
      <c r="E1025" s="2" t="s">
        <v>1682</v>
      </c>
      <c r="F1025" s="2" t="s">
        <v>1683</v>
      </c>
    </row>
    <row r="1026" spans="1:6">
      <c r="A1026" s="3" t="s">
        <v>1894</v>
      </c>
      <c r="B1026" s="3" t="s">
        <v>99</v>
      </c>
      <c r="C1026" s="4" t="s">
        <v>1684</v>
      </c>
      <c r="D1026" s="2" t="s">
        <v>1685</v>
      </c>
      <c r="E1026" s="2" t="s">
        <v>1686</v>
      </c>
      <c r="F1026" s="2" t="s">
        <v>1687</v>
      </c>
    </row>
    <row r="1027" spans="1:6">
      <c r="A1027" s="3" t="s">
        <v>1894</v>
      </c>
      <c r="B1027" s="3" t="s">
        <v>99</v>
      </c>
      <c r="C1027" s="4" t="s">
        <v>1688</v>
      </c>
      <c r="D1027" s="2" t="s">
        <v>1689</v>
      </c>
      <c r="E1027" s="2" t="s">
        <v>1690</v>
      </c>
      <c r="F1027" s="2" t="s">
        <v>1691</v>
      </c>
    </row>
    <row r="1028" spans="1:6">
      <c r="A1028" s="3" t="s">
        <v>1894</v>
      </c>
      <c r="B1028" s="3" t="s">
        <v>99</v>
      </c>
      <c r="C1028" s="4" t="s">
        <v>1692</v>
      </c>
      <c r="D1028" s="2" t="s">
        <v>1693</v>
      </c>
      <c r="E1028" s="2" t="s">
        <v>1694</v>
      </c>
      <c r="F1028" s="2" t="s">
        <v>1695</v>
      </c>
    </row>
    <row r="1029" spans="1:6">
      <c r="A1029" s="3" t="s">
        <v>1894</v>
      </c>
      <c r="B1029" s="3" t="s">
        <v>99</v>
      </c>
      <c r="C1029" s="4" t="s">
        <v>1696</v>
      </c>
      <c r="D1029" s="2" t="s">
        <v>1697</v>
      </c>
      <c r="E1029" s="2" t="s">
        <v>1698</v>
      </c>
      <c r="F1029" s="2" t="s">
        <v>1699</v>
      </c>
    </row>
    <row r="1030" spans="1:6">
      <c r="A1030" s="3" t="s">
        <v>1894</v>
      </c>
      <c r="B1030" s="3" t="s">
        <v>99</v>
      </c>
      <c r="C1030" s="4" t="s">
        <v>1700</v>
      </c>
      <c r="D1030" s="2" t="s">
        <v>1701</v>
      </c>
      <c r="E1030" s="2" t="s">
        <v>1702</v>
      </c>
      <c r="F1030" s="2" t="s">
        <v>1703</v>
      </c>
    </row>
    <row r="1031" spans="1:6">
      <c r="A1031" s="3" t="s">
        <v>1894</v>
      </c>
      <c r="B1031" s="3" t="s">
        <v>99</v>
      </c>
      <c r="C1031" s="4" t="s">
        <v>1704</v>
      </c>
      <c r="D1031" s="2" t="s">
        <v>1705</v>
      </c>
      <c r="E1031" s="2" t="s">
        <v>1706</v>
      </c>
      <c r="F1031" s="2" t="s">
        <v>1707</v>
      </c>
    </row>
    <row r="1032" spans="1:6">
      <c r="A1032" s="3" t="s">
        <v>1894</v>
      </c>
      <c r="B1032" s="3" t="s">
        <v>99</v>
      </c>
      <c r="C1032" s="4" t="s">
        <v>1708</v>
      </c>
      <c r="D1032" s="2" t="s">
        <v>1709</v>
      </c>
      <c r="E1032" s="2" t="s">
        <v>1710</v>
      </c>
      <c r="F1032" s="2" t="s">
        <v>1711</v>
      </c>
    </row>
    <row r="1033" spans="1:6">
      <c r="A1033" s="3" t="s">
        <v>1894</v>
      </c>
      <c r="B1033" s="3" t="s">
        <v>99</v>
      </c>
      <c r="C1033" s="4" t="s">
        <v>1712</v>
      </c>
      <c r="D1033" s="2" t="s">
        <v>1713</v>
      </c>
      <c r="E1033" s="2" t="s">
        <v>1714</v>
      </c>
      <c r="F1033" s="2" t="s">
        <v>1715</v>
      </c>
    </row>
    <row r="1034" spans="1:6">
      <c r="A1034" s="3" t="s">
        <v>1894</v>
      </c>
      <c r="B1034" s="3" t="s">
        <v>99</v>
      </c>
      <c r="C1034" s="4" t="s">
        <v>1716</v>
      </c>
      <c r="D1034" s="2" t="s">
        <v>1717</v>
      </c>
      <c r="E1034" s="2" t="s">
        <v>1718</v>
      </c>
      <c r="F1034" s="2" t="s">
        <v>1719</v>
      </c>
    </row>
    <row r="1035" spans="1:6">
      <c r="A1035" s="3" t="s">
        <v>1894</v>
      </c>
      <c r="B1035" s="3" t="s">
        <v>99</v>
      </c>
      <c r="C1035" s="4" t="s">
        <v>1720</v>
      </c>
      <c r="D1035" s="2" t="s">
        <v>1721</v>
      </c>
      <c r="E1035" s="2" t="s">
        <v>1722</v>
      </c>
      <c r="F1035" s="2" t="s">
        <v>1723</v>
      </c>
    </row>
    <row r="1036" spans="1:6">
      <c r="A1036" s="3" t="s">
        <v>1894</v>
      </c>
      <c r="B1036" s="3" t="s">
        <v>99</v>
      </c>
      <c r="C1036" s="4" t="s">
        <v>1724</v>
      </c>
      <c r="D1036" s="2" t="s">
        <v>1725</v>
      </c>
      <c r="E1036" s="2" t="s">
        <v>1726</v>
      </c>
      <c r="F1036" s="2" t="s">
        <v>1727</v>
      </c>
    </row>
    <row r="1037" spans="1:6">
      <c r="A1037" s="3" t="s">
        <v>1894</v>
      </c>
      <c r="B1037" s="3" t="s">
        <v>99</v>
      </c>
      <c r="C1037" s="4" t="s">
        <v>1728</v>
      </c>
      <c r="D1037" s="2" t="s">
        <v>1729</v>
      </c>
      <c r="E1037" s="2" t="s">
        <v>1730</v>
      </c>
      <c r="F1037" s="2" t="s">
        <v>1731</v>
      </c>
    </row>
    <row r="1038" spans="1:6">
      <c r="A1038" s="3" t="s">
        <v>1894</v>
      </c>
      <c r="B1038" s="3" t="s">
        <v>99</v>
      </c>
      <c r="C1038" s="4" t="s">
        <v>1732</v>
      </c>
      <c r="D1038" s="2" t="s">
        <v>1733</v>
      </c>
      <c r="E1038" s="2" t="s">
        <v>1734</v>
      </c>
      <c r="F1038" s="2" t="s">
        <v>1735</v>
      </c>
    </row>
    <row r="1039" spans="1:6">
      <c r="A1039" s="3" t="s">
        <v>1894</v>
      </c>
      <c r="B1039" s="3" t="s">
        <v>99</v>
      </c>
      <c r="C1039" s="4" t="s">
        <v>1736</v>
      </c>
      <c r="D1039" s="2" t="s">
        <v>1737</v>
      </c>
      <c r="E1039" s="2" t="s">
        <v>1738</v>
      </c>
      <c r="F1039" s="2" t="s">
        <v>1739</v>
      </c>
    </row>
    <row r="1040" spans="1:6">
      <c r="A1040" s="3" t="s">
        <v>1894</v>
      </c>
      <c r="B1040" s="3" t="s">
        <v>99</v>
      </c>
      <c r="C1040" s="4" t="s">
        <v>1740</v>
      </c>
      <c r="D1040" s="2" t="s">
        <v>1741</v>
      </c>
      <c r="E1040" s="2" t="s">
        <v>1742</v>
      </c>
      <c r="F1040" s="2" t="s">
        <v>1743</v>
      </c>
    </row>
    <row r="1041" spans="1:6">
      <c r="A1041" s="3" t="s">
        <v>1894</v>
      </c>
      <c r="B1041" s="3" t="s">
        <v>99</v>
      </c>
      <c r="C1041" s="4" t="s">
        <v>1744</v>
      </c>
      <c r="D1041" s="2" t="s">
        <v>1745</v>
      </c>
      <c r="E1041" s="2" t="s">
        <v>1746</v>
      </c>
      <c r="F1041" s="2" t="s">
        <v>1747</v>
      </c>
    </row>
    <row r="1042" spans="1:6">
      <c r="A1042" s="3" t="s">
        <v>1894</v>
      </c>
      <c r="B1042" s="3" t="s">
        <v>99</v>
      </c>
      <c r="C1042" s="4" t="s">
        <v>1748</v>
      </c>
      <c r="D1042" s="2" t="s">
        <v>1749</v>
      </c>
      <c r="E1042" s="2" t="s">
        <v>1750</v>
      </c>
      <c r="F1042" s="2" t="s">
        <v>1751</v>
      </c>
    </row>
    <row r="1043" spans="1:6">
      <c r="A1043" s="3" t="s">
        <v>1894</v>
      </c>
      <c r="B1043" s="3" t="s">
        <v>99</v>
      </c>
      <c r="C1043" s="4" t="s">
        <v>1752</v>
      </c>
      <c r="D1043" s="2" t="s">
        <v>1753</v>
      </c>
      <c r="E1043" s="2" t="s">
        <v>1754</v>
      </c>
      <c r="F1043" s="2" t="s">
        <v>1755</v>
      </c>
    </row>
    <row r="1044" spans="1:6">
      <c r="A1044" s="3" t="s">
        <v>1894</v>
      </c>
      <c r="B1044" s="3" t="s">
        <v>99</v>
      </c>
      <c r="C1044" s="4" t="s">
        <v>1756</v>
      </c>
      <c r="D1044" s="2" t="s">
        <v>1757</v>
      </c>
      <c r="E1044" s="2" t="s">
        <v>1758</v>
      </c>
      <c r="F1044" s="2" t="s">
        <v>1759</v>
      </c>
    </row>
    <row r="1045" spans="1:6">
      <c r="A1045" s="3" t="s">
        <v>1894</v>
      </c>
      <c r="B1045" s="3" t="s">
        <v>99</v>
      </c>
      <c r="C1045" s="4" t="s">
        <v>1760</v>
      </c>
      <c r="D1045" s="2" t="s">
        <v>1761</v>
      </c>
      <c r="E1045" s="2" t="s">
        <v>1762</v>
      </c>
      <c r="F1045" s="2" t="s">
        <v>1763</v>
      </c>
    </row>
    <row r="1046" spans="1:6">
      <c r="A1046" s="3" t="s">
        <v>1894</v>
      </c>
      <c r="B1046" s="3" t="s">
        <v>99</v>
      </c>
      <c r="C1046" s="4" t="s">
        <v>1764</v>
      </c>
      <c r="D1046" s="2" t="s">
        <v>1765</v>
      </c>
      <c r="E1046" s="2" t="s">
        <v>1766</v>
      </c>
      <c r="F1046" s="2" t="s">
        <v>1767</v>
      </c>
    </row>
    <row r="1047" spans="1:6">
      <c r="A1047" s="3" t="s">
        <v>1894</v>
      </c>
      <c r="B1047" s="3" t="s">
        <v>99</v>
      </c>
      <c r="C1047" s="4" t="s">
        <v>1768</v>
      </c>
      <c r="D1047" s="2" t="s">
        <v>1769</v>
      </c>
      <c r="E1047" s="2" t="s">
        <v>1770</v>
      </c>
      <c r="F1047" s="2" t="s">
        <v>1771</v>
      </c>
    </row>
    <row r="1048" spans="1:6">
      <c r="A1048" s="3" t="s">
        <v>1894</v>
      </c>
      <c r="B1048" s="3" t="s">
        <v>99</v>
      </c>
      <c r="C1048" s="4" t="s">
        <v>1772</v>
      </c>
      <c r="D1048" s="2" t="s">
        <v>1773</v>
      </c>
      <c r="E1048" s="2" t="s">
        <v>1774</v>
      </c>
      <c r="F1048" s="2" t="s">
        <v>1775</v>
      </c>
    </row>
    <row r="1049" spans="1:6">
      <c r="A1049" s="3" t="s">
        <v>1894</v>
      </c>
      <c r="B1049" s="3" t="s">
        <v>99</v>
      </c>
      <c r="C1049" s="4" t="s">
        <v>1776</v>
      </c>
      <c r="D1049" s="2" t="s">
        <v>1777</v>
      </c>
      <c r="E1049" s="2" t="s">
        <v>1778</v>
      </c>
      <c r="F1049" s="2" t="s">
        <v>1779</v>
      </c>
    </row>
    <row r="1050" spans="1:6">
      <c r="A1050" s="3" t="s">
        <v>1894</v>
      </c>
      <c r="B1050" s="3" t="s">
        <v>99</v>
      </c>
      <c r="C1050" s="4" t="s">
        <v>1780</v>
      </c>
      <c r="D1050" s="2" t="s">
        <v>1781</v>
      </c>
      <c r="E1050" s="2" t="s">
        <v>1782</v>
      </c>
      <c r="F1050" s="2" t="s">
        <v>1783</v>
      </c>
    </row>
    <row r="1051" spans="1:6">
      <c r="A1051" s="3" t="s">
        <v>1894</v>
      </c>
      <c r="B1051" s="3" t="s">
        <v>99</v>
      </c>
      <c r="C1051" s="4" t="s">
        <v>1784</v>
      </c>
      <c r="D1051" s="2" t="s">
        <v>1785</v>
      </c>
      <c r="E1051" s="2" t="s">
        <v>1786</v>
      </c>
      <c r="F1051" s="2" t="s">
        <v>1787</v>
      </c>
    </row>
    <row r="1052" spans="1:6">
      <c r="A1052" s="3" t="s">
        <v>1894</v>
      </c>
      <c r="B1052" s="3" t="s">
        <v>99</v>
      </c>
      <c r="C1052" s="4" t="s">
        <v>1788</v>
      </c>
      <c r="D1052" s="2" t="s">
        <v>1789</v>
      </c>
      <c r="E1052" s="2" t="s">
        <v>1790</v>
      </c>
      <c r="F1052" s="2" t="s">
        <v>1791</v>
      </c>
    </row>
    <row r="1053" spans="1:6">
      <c r="A1053" s="3" t="s">
        <v>1894</v>
      </c>
      <c r="B1053" s="3" t="s">
        <v>99</v>
      </c>
      <c r="C1053" s="4" t="s">
        <v>1792</v>
      </c>
      <c r="D1053" s="2" t="s">
        <v>1793</v>
      </c>
      <c r="E1053" s="2" t="s">
        <v>1794</v>
      </c>
      <c r="F1053" s="2" t="s">
        <v>1795</v>
      </c>
    </row>
    <row r="1054" spans="1:6">
      <c r="A1054" s="3" t="s">
        <v>1894</v>
      </c>
      <c r="B1054" s="3" t="s">
        <v>99</v>
      </c>
      <c r="C1054" s="4" t="s">
        <v>1796</v>
      </c>
      <c r="D1054" s="2" t="s">
        <v>1797</v>
      </c>
      <c r="E1054" s="2" t="s">
        <v>1798</v>
      </c>
      <c r="F1054" s="2" t="s">
        <v>1799</v>
      </c>
    </row>
    <row r="1055" spans="1:6">
      <c r="A1055" s="3" t="s">
        <v>1894</v>
      </c>
      <c r="B1055" s="3" t="s">
        <v>99</v>
      </c>
      <c r="C1055" s="4" t="s">
        <v>204</v>
      </c>
      <c r="D1055" s="2" t="s">
        <v>205</v>
      </c>
      <c r="E1055" s="2" t="s">
        <v>206</v>
      </c>
      <c r="F1055" s="2" t="s">
        <v>207</v>
      </c>
    </row>
    <row r="1056" spans="1:6">
      <c r="A1056" s="3" t="s">
        <v>1894</v>
      </c>
      <c r="B1056" s="3" t="s">
        <v>99</v>
      </c>
      <c r="C1056" s="4" t="s">
        <v>208</v>
      </c>
      <c r="D1056" s="2" t="s">
        <v>209</v>
      </c>
      <c r="E1056" s="2" t="s">
        <v>210</v>
      </c>
      <c r="F1056" s="2" t="s">
        <v>211</v>
      </c>
    </row>
    <row r="1057" spans="1:6">
      <c r="A1057" s="3" t="s">
        <v>1894</v>
      </c>
      <c r="B1057" s="3" t="s">
        <v>99</v>
      </c>
      <c r="C1057" s="4" t="s">
        <v>1800</v>
      </c>
      <c r="D1057" s="2" t="s">
        <v>1801</v>
      </c>
      <c r="E1057" s="2" t="s">
        <v>1802</v>
      </c>
      <c r="F1057" s="2" t="s">
        <v>1803</v>
      </c>
    </row>
    <row r="1058" spans="1:6">
      <c r="A1058" s="3" t="s">
        <v>1894</v>
      </c>
      <c r="B1058" s="3" t="s">
        <v>99</v>
      </c>
      <c r="C1058" s="4" t="s">
        <v>1804</v>
      </c>
      <c r="D1058" s="2" t="s">
        <v>1805</v>
      </c>
      <c r="E1058" s="2" t="s">
        <v>1806</v>
      </c>
      <c r="F1058" s="2" t="s">
        <v>1807</v>
      </c>
    </row>
    <row r="1059" spans="1:6">
      <c r="A1059" s="3" t="s">
        <v>1894</v>
      </c>
      <c r="B1059" s="3" t="s">
        <v>99</v>
      </c>
      <c r="C1059" s="4" t="s">
        <v>1808</v>
      </c>
      <c r="D1059" s="2" t="s">
        <v>1809</v>
      </c>
      <c r="E1059" s="2" t="s">
        <v>1810</v>
      </c>
      <c r="F1059" s="2" t="s">
        <v>1811</v>
      </c>
    </row>
    <row r="1060" spans="1:6">
      <c r="A1060" s="3" t="s">
        <v>1894</v>
      </c>
      <c r="B1060" s="3" t="s">
        <v>99</v>
      </c>
      <c r="C1060" s="4" t="s">
        <v>1812</v>
      </c>
      <c r="D1060" s="2" t="s">
        <v>1813</v>
      </c>
      <c r="E1060" s="2" t="s">
        <v>1814</v>
      </c>
      <c r="F1060" s="2" t="s">
        <v>1815</v>
      </c>
    </row>
    <row r="1061" spans="1:6">
      <c r="A1061" s="3" t="s">
        <v>1894</v>
      </c>
      <c r="B1061" s="3" t="s">
        <v>99</v>
      </c>
      <c r="C1061" s="4" t="s">
        <v>1816</v>
      </c>
      <c r="D1061" s="2" t="s">
        <v>1817</v>
      </c>
      <c r="E1061" s="2" t="s">
        <v>1818</v>
      </c>
      <c r="F1061" s="2" t="s">
        <v>1819</v>
      </c>
    </row>
    <row r="1062" spans="1:6">
      <c r="A1062" s="3" t="s">
        <v>1894</v>
      </c>
      <c r="B1062" s="3" t="s">
        <v>99</v>
      </c>
      <c r="C1062" s="4" t="s">
        <v>1820</v>
      </c>
      <c r="D1062" s="2" t="s">
        <v>1821</v>
      </c>
      <c r="E1062" s="2" t="s">
        <v>1822</v>
      </c>
      <c r="F1062" s="2" t="s">
        <v>1823</v>
      </c>
    </row>
    <row r="1063" spans="1:6">
      <c r="A1063" s="3" t="s">
        <v>1894</v>
      </c>
      <c r="B1063" s="3" t="s">
        <v>99</v>
      </c>
      <c r="C1063" s="4" t="s">
        <v>1824</v>
      </c>
      <c r="D1063" s="2" t="s">
        <v>1825</v>
      </c>
      <c r="E1063" s="2" t="s">
        <v>1826</v>
      </c>
      <c r="F1063" s="2" t="s">
        <v>1827</v>
      </c>
    </row>
    <row r="1064" spans="1:6">
      <c r="A1064" s="3" t="s">
        <v>1894</v>
      </c>
      <c r="B1064" s="3" t="s">
        <v>99</v>
      </c>
      <c r="C1064" s="4" t="s">
        <v>362</v>
      </c>
      <c r="D1064" s="2" t="s">
        <v>363</v>
      </c>
      <c r="E1064" s="2" t="s">
        <v>364</v>
      </c>
      <c r="F1064" s="2" t="s">
        <v>365</v>
      </c>
    </row>
    <row r="1065" spans="1:6">
      <c r="A1065" s="3" t="s">
        <v>1894</v>
      </c>
      <c r="B1065" s="3" t="s">
        <v>99</v>
      </c>
      <c r="C1065" s="4" t="s">
        <v>366</v>
      </c>
      <c r="D1065" s="2" t="s">
        <v>367</v>
      </c>
      <c r="E1065" s="2" t="s">
        <v>368</v>
      </c>
      <c r="F1065" s="2" t="s">
        <v>369</v>
      </c>
    </row>
    <row r="1066" spans="1:6">
      <c r="A1066" s="3" t="s">
        <v>1894</v>
      </c>
      <c r="B1066" s="3" t="s">
        <v>99</v>
      </c>
      <c r="C1066" s="4" t="s">
        <v>1895</v>
      </c>
      <c r="D1066" s="2" t="s">
        <v>1896</v>
      </c>
      <c r="E1066" s="2" t="s">
        <v>1897</v>
      </c>
      <c r="F1066" s="2" t="s">
        <v>1898</v>
      </c>
    </row>
    <row r="1067" spans="1:6">
      <c r="A1067" s="3" t="s">
        <v>1899</v>
      </c>
      <c r="B1067" s="3" t="s">
        <v>102</v>
      </c>
      <c r="C1067" s="4" t="s">
        <v>116</v>
      </c>
      <c r="D1067" s="2" t="s">
        <v>67</v>
      </c>
      <c r="E1067" s="2" t="s">
        <v>117</v>
      </c>
      <c r="F1067" s="2" t="s">
        <v>118</v>
      </c>
    </row>
    <row r="1068" spans="1:6">
      <c r="A1068" s="3" t="s">
        <v>1899</v>
      </c>
      <c r="B1068" s="3" t="s">
        <v>102</v>
      </c>
      <c r="C1068" s="4" t="s">
        <v>119</v>
      </c>
      <c r="D1068" s="2" t="s">
        <v>69</v>
      </c>
      <c r="E1068" s="2" t="s">
        <v>63</v>
      </c>
      <c r="F1068" s="2" t="s">
        <v>120</v>
      </c>
    </row>
    <row r="1069" spans="1:6">
      <c r="A1069" s="3" t="s">
        <v>1899</v>
      </c>
      <c r="B1069" s="3" t="s">
        <v>102</v>
      </c>
      <c r="C1069" s="4" t="s">
        <v>129</v>
      </c>
      <c r="D1069" s="2" t="s">
        <v>73</v>
      </c>
      <c r="E1069" s="2" t="s">
        <v>130</v>
      </c>
      <c r="F1069" s="2" t="s">
        <v>131</v>
      </c>
    </row>
    <row r="1070" spans="1:6">
      <c r="A1070" s="3" t="s">
        <v>1899</v>
      </c>
      <c r="B1070" s="3" t="s">
        <v>102</v>
      </c>
      <c r="C1070" s="4" t="s">
        <v>132</v>
      </c>
      <c r="D1070" s="2" t="s">
        <v>70</v>
      </c>
      <c r="E1070" s="2" t="s">
        <v>133</v>
      </c>
      <c r="F1070" s="2" t="s">
        <v>134</v>
      </c>
    </row>
    <row r="1071" spans="1:6">
      <c r="A1071" s="3" t="s">
        <v>1899</v>
      </c>
      <c r="B1071" s="3" t="s">
        <v>102</v>
      </c>
      <c r="C1071" s="4" t="s">
        <v>135</v>
      </c>
      <c r="D1071" s="2" t="s">
        <v>136</v>
      </c>
      <c r="E1071" s="2" t="s">
        <v>137</v>
      </c>
      <c r="F1071" s="2" t="s">
        <v>138</v>
      </c>
    </row>
    <row r="1072" spans="1:6">
      <c r="A1072" s="3" t="s">
        <v>1899</v>
      </c>
      <c r="B1072" s="3" t="s">
        <v>102</v>
      </c>
      <c r="C1072" s="4" t="s">
        <v>139</v>
      </c>
      <c r="D1072" s="2" t="s">
        <v>139</v>
      </c>
      <c r="E1072" s="2" t="s">
        <v>140</v>
      </c>
      <c r="F1072" s="2" t="s">
        <v>141</v>
      </c>
    </row>
    <row r="1073" spans="1:6">
      <c r="A1073" s="3" t="s">
        <v>1899</v>
      </c>
      <c r="B1073" s="3" t="s">
        <v>102</v>
      </c>
      <c r="C1073" s="4" t="s">
        <v>164</v>
      </c>
      <c r="D1073" s="2" t="s">
        <v>60</v>
      </c>
      <c r="E1073" s="2" t="s">
        <v>165</v>
      </c>
      <c r="F1073" s="2" t="s">
        <v>166</v>
      </c>
    </row>
    <row r="1074" spans="1:6">
      <c r="A1074" s="3" t="s">
        <v>1899</v>
      </c>
      <c r="B1074" s="3" t="s">
        <v>102</v>
      </c>
      <c r="C1074" s="4" t="s">
        <v>167</v>
      </c>
      <c r="D1074" s="2" t="s">
        <v>61</v>
      </c>
      <c r="E1074" s="2" t="s">
        <v>168</v>
      </c>
      <c r="F1074" s="2" t="s">
        <v>169</v>
      </c>
    </row>
    <row r="1075" spans="1:6">
      <c r="A1075" s="3" t="s">
        <v>1899</v>
      </c>
      <c r="B1075" s="3" t="s">
        <v>102</v>
      </c>
      <c r="C1075" s="4" t="s">
        <v>170</v>
      </c>
      <c r="D1075" s="2" t="s">
        <v>68</v>
      </c>
      <c r="E1075" s="2" t="s">
        <v>171</v>
      </c>
      <c r="F1075" s="2" t="s">
        <v>172</v>
      </c>
    </row>
    <row r="1076" spans="1:6">
      <c r="A1076" s="3" t="s">
        <v>1899</v>
      </c>
      <c r="B1076" s="3" t="s">
        <v>102</v>
      </c>
      <c r="C1076" s="4" t="s">
        <v>173</v>
      </c>
      <c r="D1076" s="2" t="s">
        <v>174</v>
      </c>
      <c r="E1076" s="2" t="s">
        <v>175</v>
      </c>
      <c r="F1076" s="2" t="s">
        <v>176</v>
      </c>
    </row>
    <row r="1077" spans="1:6">
      <c r="A1077" s="3" t="s">
        <v>1899</v>
      </c>
      <c r="B1077" s="3" t="s">
        <v>102</v>
      </c>
      <c r="C1077" s="4" t="s">
        <v>797</v>
      </c>
      <c r="D1077" s="2" t="s">
        <v>798</v>
      </c>
      <c r="E1077" s="2" t="s">
        <v>799</v>
      </c>
      <c r="F1077" s="2" t="s">
        <v>798</v>
      </c>
    </row>
    <row r="1078" spans="1:6">
      <c r="A1078" s="3" t="s">
        <v>1899</v>
      </c>
      <c r="B1078" s="3" t="s">
        <v>102</v>
      </c>
      <c r="C1078" s="4" t="s">
        <v>181</v>
      </c>
      <c r="D1078" s="2" t="s">
        <v>182</v>
      </c>
      <c r="E1078" s="2" t="s">
        <v>183</v>
      </c>
      <c r="F1078" s="2" t="s">
        <v>184</v>
      </c>
    </row>
    <row r="1079" spans="1:6">
      <c r="A1079" s="3" t="s">
        <v>1899</v>
      </c>
      <c r="B1079" s="3" t="s">
        <v>102</v>
      </c>
      <c r="C1079" s="4" t="s">
        <v>800</v>
      </c>
      <c r="D1079" s="2" t="s">
        <v>71</v>
      </c>
      <c r="E1079" s="2" t="s">
        <v>801</v>
      </c>
      <c r="F1079" s="2" t="s">
        <v>802</v>
      </c>
    </row>
    <row r="1080" spans="1:6">
      <c r="A1080" s="3" t="s">
        <v>1899</v>
      </c>
      <c r="B1080" s="3" t="s">
        <v>102</v>
      </c>
      <c r="C1080" s="4" t="s">
        <v>803</v>
      </c>
      <c r="D1080" s="2" t="s">
        <v>804</v>
      </c>
      <c r="E1080" s="2" t="s">
        <v>805</v>
      </c>
      <c r="F1080" s="2" t="s">
        <v>806</v>
      </c>
    </row>
    <row r="1081" spans="1:6">
      <c r="A1081" s="3" t="s">
        <v>1899</v>
      </c>
      <c r="B1081" s="3" t="s">
        <v>102</v>
      </c>
      <c r="C1081" s="4" t="s">
        <v>1649</v>
      </c>
      <c r="D1081" s="2" t="s">
        <v>1650</v>
      </c>
      <c r="E1081" s="2" t="s">
        <v>1651</v>
      </c>
      <c r="F1081" s="2" t="s">
        <v>1650</v>
      </c>
    </row>
    <row r="1082" spans="1:6">
      <c r="A1082" s="3" t="s">
        <v>1899</v>
      </c>
      <c r="B1082" s="3" t="s">
        <v>102</v>
      </c>
      <c r="C1082" s="4" t="s">
        <v>185</v>
      </c>
      <c r="D1082" s="2" t="s">
        <v>186</v>
      </c>
      <c r="E1082" s="2" t="s">
        <v>187</v>
      </c>
      <c r="F1082" s="2" t="s">
        <v>188</v>
      </c>
    </row>
    <row r="1083" spans="1:6">
      <c r="A1083" s="3" t="s">
        <v>1899</v>
      </c>
      <c r="B1083" s="3" t="s">
        <v>102</v>
      </c>
      <c r="C1083" s="4" t="s">
        <v>1652</v>
      </c>
      <c r="D1083" s="2" t="s">
        <v>1653</v>
      </c>
      <c r="E1083" s="2" t="s">
        <v>1654</v>
      </c>
      <c r="F1083" s="2" t="s">
        <v>1655</v>
      </c>
    </row>
    <row r="1084" spans="1:6">
      <c r="A1084" s="3" t="s">
        <v>1899</v>
      </c>
      <c r="B1084" s="3" t="s">
        <v>102</v>
      </c>
      <c r="C1084" s="4" t="s">
        <v>1656</v>
      </c>
      <c r="D1084" s="2" t="s">
        <v>1657</v>
      </c>
      <c r="E1084" s="2" t="s">
        <v>1658</v>
      </c>
      <c r="F1084" s="2" t="s">
        <v>1659</v>
      </c>
    </row>
    <row r="1085" spans="1:6">
      <c r="A1085" s="3" t="s">
        <v>1899</v>
      </c>
      <c r="B1085" s="3" t="s">
        <v>102</v>
      </c>
      <c r="C1085" s="4" t="s">
        <v>189</v>
      </c>
      <c r="D1085" s="2" t="s">
        <v>190</v>
      </c>
      <c r="E1085" s="2" t="s">
        <v>191</v>
      </c>
      <c r="F1085" s="2" t="s">
        <v>192</v>
      </c>
    </row>
    <row r="1086" spans="1:6">
      <c r="A1086" s="3" t="s">
        <v>1899</v>
      </c>
      <c r="B1086" s="3" t="s">
        <v>102</v>
      </c>
      <c r="C1086" s="4" t="s">
        <v>1660</v>
      </c>
      <c r="D1086" s="2" t="s">
        <v>1661</v>
      </c>
      <c r="E1086" s="2" t="s">
        <v>1662</v>
      </c>
      <c r="F1086" s="2" t="s">
        <v>1663</v>
      </c>
    </row>
    <row r="1087" spans="1:6">
      <c r="A1087" s="3" t="s">
        <v>1899</v>
      </c>
      <c r="B1087" s="3" t="s">
        <v>102</v>
      </c>
      <c r="C1087" s="4" t="s">
        <v>1664</v>
      </c>
      <c r="D1087" s="2" t="s">
        <v>1665</v>
      </c>
      <c r="E1087" s="2" t="s">
        <v>1666</v>
      </c>
      <c r="F1087" s="2" t="s">
        <v>1667</v>
      </c>
    </row>
    <row r="1088" spans="1:6">
      <c r="A1088" s="3" t="s">
        <v>1899</v>
      </c>
      <c r="B1088" s="3" t="s">
        <v>102</v>
      </c>
      <c r="C1088" s="4" t="s">
        <v>1668</v>
      </c>
      <c r="D1088" s="2" t="s">
        <v>1669</v>
      </c>
      <c r="E1088" s="2" t="s">
        <v>1670</v>
      </c>
      <c r="F1088" s="2" t="s">
        <v>1671</v>
      </c>
    </row>
    <row r="1089" spans="1:6">
      <c r="A1089" s="3" t="s">
        <v>1899</v>
      </c>
      <c r="B1089" s="3" t="s">
        <v>102</v>
      </c>
      <c r="C1089" s="4" t="s">
        <v>1672</v>
      </c>
      <c r="D1089" s="2" t="s">
        <v>1673</v>
      </c>
      <c r="E1089" s="2" t="s">
        <v>1674</v>
      </c>
      <c r="F1089" s="2" t="s">
        <v>1675</v>
      </c>
    </row>
    <row r="1090" spans="1:6">
      <c r="A1090" s="3" t="s">
        <v>1899</v>
      </c>
      <c r="B1090" s="3" t="s">
        <v>102</v>
      </c>
      <c r="C1090" s="4" t="s">
        <v>1676</v>
      </c>
      <c r="D1090" s="2" t="s">
        <v>1677</v>
      </c>
      <c r="E1090" s="2" t="s">
        <v>1678</v>
      </c>
      <c r="F1090" s="2" t="s">
        <v>1679</v>
      </c>
    </row>
    <row r="1091" spans="1:6">
      <c r="A1091" s="3" t="s">
        <v>1899</v>
      </c>
      <c r="B1091" s="3" t="s">
        <v>102</v>
      </c>
      <c r="C1091" s="4" t="s">
        <v>1680</v>
      </c>
      <c r="D1091" s="2" t="s">
        <v>1681</v>
      </c>
      <c r="E1091" s="2" t="s">
        <v>1682</v>
      </c>
      <c r="F1091" s="2" t="s">
        <v>1683</v>
      </c>
    </row>
    <row r="1092" spans="1:6">
      <c r="A1092" s="3" t="s">
        <v>1899</v>
      </c>
      <c r="B1092" s="3" t="s">
        <v>102</v>
      </c>
      <c r="C1092" s="4" t="s">
        <v>1684</v>
      </c>
      <c r="D1092" s="2" t="s">
        <v>1685</v>
      </c>
      <c r="E1092" s="2" t="s">
        <v>1686</v>
      </c>
      <c r="F1092" s="2" t="s">
        <v>1687</v>
      </c>
    </row>
    <row r="1093" spans="1:6">
      <c r="A1093" s="3" t="s">
        <v>1899</v>
      </c>
      <c r="B1093" s="3" t="s">
        <v>102</v>
      </c>
      <c r="C1093" s="4" t="s">
        <v>1688</v>
      </c>
      <c r="D1093" s="2" t="s">
        <v>1689</v>
      </c>
      <c r="E1093" s="2" t="s">
        <v>1690</v>
      </c>
      <c r="F1093" s="2" t="s">
        <v>1691</v>
      </c>
    </row>
    <row r="1094" spans="1:6">
      <c r="A1094" s="3" t="s">
        <v>1899</v>
      </c>
      <c r="B1094" s="3" t="s">
        <v>102</v>
      </c>
      <c r="C1094" s="4" t="s">
        <v>1692</v>
      </c>
      <c r="D1094" s="2" t="s">
        <v>1693</v>
      </c>
      <c r="E1094" s="2" t="s">
        <v>1694</v>
      </c>
      <c r="F1094" s="2" t="s">
        <v>1695</v>
      </c>
    </row>
    <row r="1095" spans="1:6">
      <c r="A1095" s="3" t="s">
        <v>1899</v>
      </c>
      <c r="B1095" s="3" t="s">
        <v>102</v>
      </c>
      <c r="C1095" s="4" t="s">
        <v>1696</v>
      </c>
      <c r="D1095" s="2" t="s">
        <v>1697</v>
      </c>
      <c r="E1095" s="2" t="s">
        <v>1698</v>
      </c>
      <c r="F1095" s="2" t="s">
        <v>1699</v>
      </c>
    </row>
    <row r="1096" spans="1:6">
      <c r="A1096" s="3" t="s">
        <v>1899</v>
      </c>
      <c r="B1096" s="3" t="s">
        <v>102</v>
      </c>
      <c r="C1096" s="4" t="s">
        <v>1700</v>
      </c>
      <c r="D1096" s="2" t="s">
        <v>1701</v>
      </c>
      <c r="E1096" s="2" t="s">
        <v>1702</v>
      </c>
      <c r="F1096" s="2" t="s">
        <v>1703</v>
      </c>
    </row>
    <row r="1097" spans="1:6">
      <c r="A1097" s="3" t="s">
        <v>1899</v>
      </c>
      <c r="B1097" s="3" t="s">
        <v>102</v>
      </c>
      <c r="C1097" s="4" t="s">
        <v>1704</v>
      </c>
      <c r="D1097" s="2" t="s">
        <v>1705</v>
      </c>
      <c r="E1097" s="2" t="s">
        <v>1706</v>
      </c>
      <c r="F1097" s="2" t="s">
        <v>1707</v>
      </c>
    </row>
    <row r="1098" spans="1:6">
      <c r="A1098" s="3" t="s">
        <v>1899</v>
      </c>
      <c r="B1098" s="3" t="s">
        <v>102</v>
      </c>
      <c r="C1098" s="4" t="s">
        <v>1708</v>
      </c>
      <c r="D1098" s="2" t="s">
        <v>1709</v>
      </c>
      <c r="E1098" s="2" t="s">
        <v>1710</v>
      </c>
      <c r="F1098" s="2" t="s">
        <v>1711</v>
      </c>
    </row>
    <row r="1099" spans="1:6">
      <c r="A1099" s="3" t="s">
        <v>1899</v>
      </c>
      <c r="B1099" s="3" t="s">
        <v>102</v>
      </c>
      <c r="C1099" s="4" t="s">
        <v>1712</v>
      </c>
      <c r="D1099" s="2" t="s">
        <v>1713</v>
      </c>
      <c r="E1099" s="2" t="s">
        <v>1714</v>
      </c>
      <c r="F1099" s="2" t="s">
        <v>1715</v>
      </c>
    </row>
    <row r="1100" spans="1:6">
      <c r="A1100" s="3" t="s">
        <v>1899</v>
      </c>
      <c r="B1100" s="3" t="s">
        <v>102</v>
      </c>
      <c r="C1100" s="4" t="s">
        <v>1716</v>
      </c>
      <c r="D1100" s="2" t="s">
        <v>1717</v>
      </c>
      <c r="E1100" s="2" t="s">
        <v>1718</v>
      </c>
      <c r="F1100" s="2" t="s">
        <v>1719</v>
      </c>
    </row>
    <row r="1101" spans="1:6">
      <c r="A1101" s="3" t="s">
        <v>1899</v>
      </c>
      <c r="B1101" s="3" t="s">
        <v>102</v>
      </c>
      <c r="C1101" s="4" t="s">
        <v>1720</v>
      </c>
      <c r="D1101" s="2" t="s">
        <v>1721</v>
      </c>
      <c r="E1101" s="2" t="s">
        <v>1722</v>
      </c>
      <c r="F1101" s="2" t="s">
        <v>1723</v>
      </c>
    </row>
    <row r="1102" spans="1:6">
      <c r="A1102" s="3" t="s">
        <v>1899</v>
      </c>
      <c r="B1102" s="3" t="s">
        <v>102</v>
      </c>
      <c r="C1102" s="4" t="s">
        <v>1724</v>
      </c>
      <c r="D1102" s="2" t="s">
        <v>1725</v>
      </c>
      <c r="E1102" s="2" t="s">
        <v>1726</v>
      </c>
      <c r="F1102" s="2" t="s">
        <v>1727</v>
      </c>
    </row>
    <row r="1103" spans="1:6">
      <c r="A1103" s="3" t="s">
        <v>1899</v>
      </c>
      <c r="B1103" s="3" t="s">
        <v>102</v>
      </c>
      <c r="C1103" s="4" t="s">
        <v>1728</v>
      </c>
      <c r="D1103" s="2" t="s">
        <v>1729</v>
      </c>
      <c r="E1103" s="2" t="s">
        <v>1730</v>
      </c>
      <c r="F1103" s="2" t="s">
        <v>1731</v>
      </c>
    </row>
    <row r="1104" spans="1:6">
      <c r="A1104" s="3" t="s">
        <v>1899</v>
      </c>
      <c r="B1104" s="3" t="s">
        <v>102</v>
      </c>
      <c r="C1104" s="4" t="s">
        <v>1732</v>
      </c>
      <c r="D1104" s="2" t="s">
        <v>1733</v>
      </c>
      <c r="E1104" s="2" t="s">
        <v>1734</v>
      </c>
      <c r="F1104" s="2" t="s">
        <v>1735</v>
      </c>
    </row>
    <row r="1105" spans="1:6">
      <c r="A1105" s="3" t="s">
        <v>1899</v>
      </c>
      <c r="B1105" s="3" t="s">
        <v>102</v>
      </c>
      <c r="C1105" s="4" t="s">
        <v>1736</v>
      </c>
      <c r="D1105" s="2" t="s">
        <v>1737</v>
      </c>
      <c r="E1105" s="2" t="s">
        <v>1738</v>
      </c>
      <c r="F1105" s="2" t="s">
        <v>1739</v>
      </c>
    </row>
    <row r="1106" spans="1:6">
      <c r="A1106" s="3" t="s">
        <v>1899</v>
      </c>
      <c r="B1106" s="3" t="s">
        <v>102</v>
      </c>
      <c r="C1106" s="4" t="s">
        <v>1740</v>
      </c>
      <c r="D1106" s="2" t="s">
        <v>1741</v>
      </c>
      <c r="E1106" s="2" t="s">
        <v>1742</v>
      </c>
      <c r="F1106" s="2" t="s">
        <v>1743</v>
      </c>
    </row>
    <row r="1107" spans="1:6">
      <c r="A1107" s="3" t="s">
        <v>1899</v>
      </c>
      <c r="B1107" s="3" t="s">
        <v>102</v>
      </c>
      <c r="C1107" s="4" t="s">
        <v>1744</v>
      </c>
      <c r="D1107" s="2" t="s">
        <v>1745</v>
      </c>
      <c r="E1107" s="2" t="s">
        <v>1746</v>
      </c>
      <c r="F1107" s="2" t="s">
        <v>1747</v>
      </c>
    </row>
    <row r="1108" spans="1:6">
      <c r="A1108" s="3" t="s">
        <v>1899</v>
      </c>
      <c r="B1108" s="3" t="s">
        <v>102</v>
      </c>
      <c r="C1108" s="4" t="s">
        <v>1748</v>
      </c>
      <c r="D1108" s="2" t="s">
        <v>1749</v>
      </c>
      <c r="E1108" s="2" t="s">
        <v>1750</v>
      </c>
      <c r="F1108" s="2" t="s">
        <v>1751</v>
      </c>
    </row>
    <row r="1109" spans="1:6">
      <c r="A1109" s="3" t="s">
        <v>1899</v>
      </c>
      <c r="B1109" s="3" t="s">
        <v>102</v>
      </c>
      <c r="C1109" s="4" t="s">
        <v>1752</v>
      </c>
      <c r="D1109" s="2" t="s">
        <v>1753</v>
      </c>
      <c r="E1109" s="2" t="s">
        <v>1754</v>
      </c>
      <c r="F1109" s="2" t="s">
        <v>1755</v>
      </c>
    </row>
    <row r="1110" spans="1:6">
      <c r="A1110" s="3" t="s">
        <v>1899</v>
      </c>
      <c r="B1110" s="3" t="s">
        <v>102</v>
      </c>
      <c r="C1110" s="4" t="s">
        <v>1756</v>
      </c>
      <c r="D1110" s="2" t="s">
        <v>1757</v>
      </c>
      <c r="E1110" s="2" t="s">
        <v>1758</v>
      </c>
      <c r="F1110" s="2" t="s">
        <v>1759</v>
      </c>
    </row>
    <row r="1111" spans="1:6">
      <c r="A1111" s="3" t="s">
        <v>1899</v>
      </c>
      <c r="B1111" s="3" t="s">
        <v>102</v>
      </c>
      <c r="C1111" s="4" t="s">
        <v>1760</v>
      </c>
      <c r="D1111" s="2" t="s">
        <v>1761</v>
      </c>
      <c r="E1111" s="2" t="s">
        <v>1762</v>
      </c>
      <c r="F1111" s="2" t="s">
        <v>1763</v>
      </c>
    </row>
    <row r="1112" spans="1:6">
      <c r="A1112" s="3" t="s">
        <v>1899</v>
      </c>
      <c r="B1112" s="3" t="s">
        <v>102</v>
      </c>
      <c r="C1112" s="4" t="s">
        <v>1764</v>
      </c>
      <c r="D1112" s="2" t="s">
        <v>1765</v>
      </c>
      <c r="E1112" s="2" t="s">
        <v>1766</v>
      </c>
      <c r="F1112" s="2" t="s">
        <v>1767</v>
      </c>
    </row>
    <row r="1113" spans="1:6">
      <c r="A1113" s="3" t="s">
        <v>1899</v>
      </c>
      <c r="B1113" s="3" t="s">
        <v>102</v>
      </c>
      <c r="C1113" s="4" t="s">
        <v>1768</v>
      </c>
      <c r="D1113" s="2" t="s">
        <v>1769</v>
      </c>
      <c r="E1113" s="2" t="s">
        <v>1770</v>
      </c>
      <c r="F1113" s="2" t="s">
        <v>1771</v>
      </c>
    </row>
    <row r="1114" spans="1:6">
      <c r="A1114" s="3" t="s">
        <v>1899</v>
      </c>
      <c r="B1114" s="3" t="s">
        <v>102</v>
      </c>
      <c r="C1114" s="4" t="s">
        <v>1165</v>
      </c>
      <c r="D1114" s="2" t="s">
        <v>1166</v>
      </c>
      <c r="E1114" s="2" t="s">
        <v>1167</v>
      </c>
      <c r="F1114" s="2" t="s">
        <v>1168</v>
      </c>
    </row>
    <row r="1115" spans="1:6">
      <c r="A1115" s="3" t="s">
        <v>1900</v>
      </c>
      <c r="B1115" s="3" t="s">
        <v>106</v>
      </c>
      <c r="C1115" s="4" t="s">
        <v>116</v>
      </c>
      <c r="D1115" s="2" t="s">
        <v>67</v>
      </c>
      <c r="E1115" s="2" t="s">
        <v>117</v>
      </c>
      <c r="F1115" s="2" t="s">
        <v>118</v>
      </c>
    </row>
    <row r="1116" spans="1:6">
      <c r="A1116" s="3" t="s">
        <v>1900</v>
      </c>
      <c r="B1116" s="3" t="s">
        <v>106</v>
      </c>
      <c r="C1116" s="4" t="s">
        <v>119</v>
      </c>
      <c r="D1116" s="2" t="s">
        <v>69</v>
      </c>
      <c r="E1116" s="2" t="s">
        <v>63</v>
      </c>
      <c r="F1116" s="2" t="s">
        <v>120</v>
      </c>
    </row>
    <row r="1117" spans="1:6">
      <c r="A1117" s="3" t="s">
        <v>1900</v>
      </c>
      <c r="B1117" s="3" t="s">
        <v>106</v>
      </c>
      <c r="C1117" s="4" t="s">
        <v>129</v>
      </c>
      <c r="D1117" s="2" t="s">
        <v>73</v>
      </c>
      <c r="E1117" s="2" t="s">
        <v>130</v>
      </c>
      <c r="F1117" s="2" t="s">
        <v>131</v>
      </c>
    </row>
    <row r="1118" spans="1:6">
      <c r="A1118" s="3" t="s">
        <v>1900</v>
      </c>
      <c r="B1118" s="3" t="s">
        <v>106</v>
      </c>
      <c r="C1118" s="4" t="s">
        <v>132</v>
      </c>
      <c r="D1118" s="2" t="s">
        <v>70</v>
      </c>
      <c r="E1118" s="2" t="s">
        <v>133</v>
      </c>
      <c r="F1118" s="2" t="s">
        <v>134</v>
      </c>
    </row>
    <row r="1119" spans="1:6">
      <c r="A1119" s="3" t="s">
        <v>1900</v>
      </c>
      <c r="B1119" s="3" t="s">
        <v>106</v>
      </c>
      <c r="C1119" s="4" t="s">
        <v>135</v>
      </c>
      <c r="D1119" s="2" t="s">
        <v>136</v>
      </c>
      <c r="E1119" s="2" t="s">
        <v>137</v>
      </c>
      <c r="F1119" s="2" t="s">
        <v>138</v>
      </c>
    </row>
    <row r="1120" spans="1:6">
      <c r="A1120" s="3" t="s">
        <v>1900</v>
      </c>
      <c r="B1120" s="3" t="s">
        <v>106</v>
      </c>
      <c r="C1120" s="4" t="s">
        <v>139</v>
      </c>
      <c r="D1120" s="2" t="s">
        <v>139</v>
      </c>
      <c r="E1120" s="2" t="s">
        <v>140</v>
      </c>
      <c r="F1120" s="2" t="s">
        <v>141</v>
      </c>
    </row>
    <row r="1121" spans="1:6">
      <c r="A1121" s="3" t="s">
        <v>1900</v>
      </c>
      <c r="B1121" s="3" t="s">
        <v>106</v>
      </c>
      <c r="C1121" s="4" t="s">
        <v>1134</v>
      </c>
      <c r="D1121" s="2" t="s">
        <v>1135</v>
      </c>
      <c r="E1121" s="2" t="s">
        <v>1136</v>
      </c>
      <c r="F1121" s="2" t="s">
        <v>1137</v>
      </c>
    </row>
    <row r="1122" spans="1:6">
      <c r="A1122" s="3" t="s">
        <v>1900</v>
      </c>
      <c r="B1122" s="3" t="s">
        <v>106</v>
      </c>
      <c r="C1122" s="4" t="s">
        <v>1829</v>
      </c>
      <c r="D1122" s="2" t="s">
        <v>1830</v>
      </c>
      <c r="E1122" s="2" t="s">
        <v>1831</v>
      </c>
      <c r="F1122" s="2" t="s">
        <v>1832</v>
      </c>
    </row>
    <row r="1123" spans="1:6">
      <c r="A1123" s="3" t="s">
        <v>1900</v>
      </c>
      <c r="B1123" s="3" t="s">
        <v>106</v>
      </c>
      <c r="C1123" s="4" t="s">
        <v>164</v>
      </c>
      <c r="D1123" s="2" t="s">
        <v>60</v>
      </c>
      <c r="E1123" s="2" t="s">
        <v>165</v>
      </c>
      <c r="F1123" s="2" t="s">
        <v>166</v>
      </c>
    </row>
    <row r="1124" spans="1:6">
      <c r="A1124" s="3" t="s">
        <v>1900</v>
      </c>
      <c r="B1124" s="3" t="s">
        <v>106</v>
      </c>
      <c r="C1124" s="4" t="s">
        <v>167</v>
      </c>
      <c r="D1124" s="2" t="s">
        <v>61</v>
      </c>
      <c r="E1124" s="2" t="s">
        <v>168</v>
      </c>
      <c r="F1124" s="2" t="s">
        <v>169</v>
      </c>
    </row>
    <row r="1125" spans="1:6">
      <c r="A1125" s="3" t="s">
        <v>1900</v>
      </c>
      <c r="B1125" s="3" t="s">
        <v>106</v>
      </c>
      <c r="C1125" s="4" t="s">
        <v>170</v>
      </c>
      <c r="D1125" s="2" t="s">
        <v>68</v>
      </c>
      <c r="E1125" s="2" t="s">
        <v>171</v>
      </c>
      <c r="F1125" s="2" t="s">
        <v>172</v>
      </c>
    </row>
    <row r="1126" spans="1:6">
      <c r="A1126" s="3" t="s">
        <v>1900</v>
      </c>
      <c r="B1126" s="3" t="s">
        <v>106</v>
      </c>
      <c r="C1126" s="4" t="s">
        <v>173</v>
      </c>
      <c r="D1126" s="2" t="s">
        <v>174</v>
      </c>
      <c r="E1126" s="2" t="s">
        <v>175</v>
      </c>
      <c r="F1126" s="2" t="s">
        <v>176</v>
      </c>
    </row>
    <row r="1127" spans="1:6">
      <c r="A1127" s="3" t="s">
        <v>1900</v>
      </c>
      <c r="B1127" s="3" t="s">
        <v>106</v>
      </c>
      <c r="C1127" s="4" t="s">
        <v>797</v>
      </c>
      <c r="D1127" s="2" t="s">
        <v>798</v>
      </c>
      <c r="E1127" s="2" t="s">
        <v>799</v>
      </c>
      <c r="F1127" s="2" t="s">
        <v>798</v>
      </c>
    </row>
    <row r="1128" spans="1:6">
      <c r="A1128" s="3" t="s">
        <v>1900</v>
      </c>
      <c r="B1128" s="3" t="s">
        <v>106</v>
      </c>
      <c r="C1128" s="4" t="s">
        <v>177</v>
      </c>
      <c r="D1128" s="2" t="s">
        <v>178</v>
      </c>
      <c r="E1128" s="2" t="s">
        <v>179</v>
      </c>
      <c r="F1128" s="2" t="s">
        <v>180</v>
      </c>
    </row>
    <row r="1129" spans="1:6">
      <c r="A1129" s="3" t="s">
        <v>1900</v>
      </c>
      <c r="B1129" s="3" t="s">
        <v>106</v>
      </c>
      <c r="C1129" s="4" t="s">
        <v>800</v>
      </c>
      <c r="D1129" s="2" t="s">
        <v>71</v>
      </c>
      <c r="E1129" s="2" t="s">
        <v>801</v>
      </c>
      <c r="F1129" s="2" t="s">
        <v>802</v>
      </c>
    </row>
    <row r="1130" spans="1:6">
      <c r="A1130" s="3" t="s">
        <v>1900</v>
      </c>
      <c r="B1130" s="3" t="s">
        <v>106</v>
      </c>
      <c r="C1130" s="4" t="s">
        <v>803</v>
      </c>
      <c r="D1130" s="2" t="s">
        <v>804</v>
      </c>
      <c r="E1130" s="2" t="s">
        <v>805</v>
      </c>
      <c r="F1130" s="2" t="s">
        <v>806</v>
      </c>
    </row>
    <row r="1131" spans="1:6">
      <c r="A1131" s="3" t="s">
        <v>1900</v>
      </c>
      <c r="B1131" s="3" t="s">
        <v>106</v>
      </c>
      <c r="C1131" s="4" t="s">
        <v>1649</v>
      </c>
      <c r="D1131" s="2" t="s">
        <v>1650</v>
      </c>
      <c r="E1131" s="2" t="s">
        <v>1651</v>
      </c>
      <c r="F1131" s="2" t="s">
        <v>1650</v>
      </c>
    </row>
    <row r="1132" spans="1:6">
      <c r="A1132" s="3" t="s">
        <v>1900</v>
      </c>
      <c r="B1132" s="3" t="s">
        <v>106</v>
      </c>
      <c r="C1132" s="4" t="s">
        <v>185</v>
      </c>
      <c r="D1132" s="2" t="s">
        <v>186</v>
      </c>
      <c r="E1132" s="2" t="s">
        <v>187</v>
      </c>
      <c r="F1132" s="2" t="s">
        <v>188</v>
      </c>
    </row>
    <row r="1133" spans="1:6">
      <c r="A1133" s="3" t="s">
        <v>1900</v>
      </c>
      <c r="B1133" s="3" t="s">
        <v>106</v>
      </c>
      <c r="C1133" s="4" t="s">
        <v>1652</v>
      </c>
      <c r="D1133" s="2" t="s">
        <v>1653</v>
      </c>
      <c r="E1133" s="2" t="s">
        <v>1654</v>
      </c>
      <c r="F1133" s="2" t="s">
        <v>1655</v>
      </c>
    </row>
    <row r="1134" spans="1:6">
      <c r="A1134" s="3" t="s">
        <v>1900</v>
      </c>
      <c r="B1134" s="3" t="s">
        <v>106</v>
      </c>
      <c r="C1134" s="4" t="s">
        <v>1656</v>
      </c>
      <c r="D1134" s="2" t="s">
        <v>1657</v>
      </c>
      <c r="E1134" s="2" t="s">
        <v>1658</v>
      </c>
      <c r="F1134" s="2" t="s">
        <v>1659</v>
      </c>
    </row>
    <row r="1135" spans="1:6">
      <c r="A1135" s="3" t="s">
        <v>1900</v>
      </c>
      <c r="B1135" s="3" t="s">
        <v>106</v>
      </c>
      <c r="C1135" s="4" t="s">
        <v>1169</v>
      </c>
      <c r="D1135" s="2" t="s">
        <v>1170</v>
      </c>
      <c r="E1135" s="2" t="s">
        <v>1171</v>
      </c>
      <c r="F1135" s="2" t="s">
        <v>1172</v>
      </c>
    </row>
    <row r="1136" spans="1:6">
      <c r="A1136" s="3" t="s">
        <v>1900</v>
      </c>
      <c r="B1136" s="3" t="s">
        <v>106</v>
      </c>
      <c r="C1136" s="4" t="s">
        <v>1901</v>
      </c>
      <c r="D1136" s="2" t="s">
        <v>1902</v>
      </c>
      <c r="E1136" s="2" t="s">
        <v>1903</v>
      </c>
      <c r="F1136" s="2" t="s">
        <v>598</v>
      </c>
    </row>
    <row r="1137" spans="1:6">
      <c r="A1137" s="3" t="s">
        <v>1900</v>
      </c>
      <c r="B1137" s="3" t="s">
        <v>106</v>
      </c>
      <c r="C1137" s="4" t="s">
        <v>1904</v>
      </c>
      <c r="D1137" s="2" t="s">
        <v>1905</v>
      </c>
      <c r="E1137" s="2" t="s">
        <v>1906</v>
      </c>
      <c r="F1137" s="2" t="s">
        <v>1907</v>
      </c>
    </row>
    <row r="1138" spans="1:6">
      <c r="A1138" s="3" t="s">
        <v>1900</v>
      </c>
      <c r="B1138" s="3" t="s">
        <v>106</v>
      </c>
      <c r="C1138" s="4" t="s">
        <v>1908</v>
      </c>
      <c r="D1138" s="2" t="s">
        <v>1909</v>
      </c>
      <c r="E1138" s="2" t="s">
        <v>1910</v>
      </c>
      <c r="F1138" s="2" t="s">
        <v>1911</v>
      </c>
    </row>
    <row r="1139" spans="1:6">
      <c r="A1139" s="3" t="s">
        <v>1912</v>
      </c>
      <c r="B1139" s="3" t="s">
        <v>103</v>
      </c>
      <c r="C1139" s="4" t="s">
        <v>116</v>
      </c>
      <c r="D1139" s="2" t="s">
        <v>67</v>
      </c>
      <c r="E1139" s="2" t="s">
        <v>117</v>
      </c>
      <c r="F1139" s="2" t="s">
        <v>118</v>
      </c>
    </row>
    <row r="1140" spans="1:6">
      <c r="A1140" s="3" t="s">
        <v>1912</v>
      </c>
      <c r="B1140" s="3" t="s">
        <v>103</v>
      </c>
      <c r="C1140" s="4" t="s">
        <v>119</v>
      </c>
      <c r="D1140" s="2" t="s">
        <v>69</v>
      </c>
      <c r="E1140" s="2" t="s">
        <v>63</v>
      </c>
      <c r="F1140" s="2" t="s">
        <v>120</v>
      </c>
    </row>
    <row r="1141" spans="1:6">
      <c r="A1141" s="3" t="s">
        <v>1912</v>
      </c>
      <c r="B1141" s="3" t="s">
        <v>103</v>
      </c>
      <c r="C1141" s="4" t="s">
        <v>129</v>
      </c>
      <c r="D1141" s="2" t="s">
        <v>73</v>
      </c>
      <c r="E1141" s="2" t="s">
        <v>130</v>
      </c>
      <c r="F1141" s="2" t="s">
        <v>131</v>
      </c>
    </row>
    <row r="1142" spans="1:6">
      <c r="A1142" s="3" t="s">
        <v>1912</v>
      </c>
      <c r="B1142" s="3" t="s">
        <v>103</v>
      </c>
      <c r="C1142" s="4" t="s">
        <v>132</v>
      </c>
      <c r="D1142" s="2" t="s">
        <v>70</v>
      </c>
      <c r="E1142" s="2" t="s">
        <v>133</v>
      </c>
      <c r="F1142" s="2" t="s">
        <v>134</v>
      </c>
    </row>
    <row r="1143" spans="1:6">
      <c r="A1143" s="3" t="s">
        <v>1912</v>
      </c>
      <c r="B1143" s="3" t="s">
        <v>103</v>
      </c>
      <c r="C1143" s="4" t="s">
        <v>135</v>
      </c>
      <c r="D1143" s="2" t="s">
        <v>136</v>
      </c>
      <c r="E1143" s="2" t="s">
        <v>137</v>
      </c>
      <c r="F1143" s="2" t="s">
        <v>138</v>
      </c>
    </row>
    <row r="1144" spans="1:6">
      <c r="A1144" s="3" t="s">
        <v>1912</v>
      </c>
      <c r="B1144" s="3" t="s">
        <v>103</v>
      </c>
      <c r="C1144" s="4" t="s">
        <v>139</v>
      </c>
      <c r="D1144" s="2" t="s">
        <v>139</v>
      </c>
      <c r="E1144" s="2" t="s">
        <v>140</v>
      </c>
      <c r="F1144" s="2" t="s">
        <v>141</v>
      </c>
    </row>
    <row r="1145" spans="1:6">
      <c r="A1145" s="3" t="s">
        <v>1912</v>
      </c>
      <c r="B1145" s="3" t="s">
        <v>103</v>
      </c>
      <c r="C1145" s="4" t="s">
        <v>1913</v>
      </c>
      <c r="D1145" s="2" t="s">
        <v>1914</v>
      </c>
      <c r="E1145" s="2" t="s">
        <v>1915</v>
      </c>
      <c r="F1145" s="2" t="s">
        <v>1916</v>
      </c>
    </row>
    <row r="1146" spans="1:6">
      <c r="A1146" s="3" t="s">
        <v>1912</v>
      </c>
      <c r="B1146" s="3" t="s">
        <v>103</v>
      </c>
      <c r="C1146" s="4" t="s">
        <v>164</v>
      </c>
      <c r="D1146" s="2" t="s">
        <v>60</v>
      </c>
      <c r="E1146" s="2" t="s">
        <v>165</v>
      </c>
      <c r="F1146" s="2" t="s">
        <v>166</v>
      </c>
    </row>
    <row r="1147" spans="1:6">
      <c r="A1147" s="3" t="s">
        <v>1912</v>
      </c>
      <c r="B1147" s="3" t="s">
        <v>103</v>
      </c>
      <c r="C1147" s="4" t="s">
        <v>167</v>
      </c>
      <c r="D1147" s="2" t="s">
        <v>61</v>
      </c>
      <c r="E1147" s="2" t="s">
        <v>168</v>
      </c>
      <c r="F1147" s="2" t="s">
        <v>169</v>
      </c>
    </row>
    <row r="1148" spans="1:6">
      <c r="A1148" s="3" t="s">
        <v>1912</v>
      </c>
      <c r="B1148" s="3" t="s">
        <v>103</v>
      </c>
      <c r="C1148" s="4" t="s">
        <v>170</v>
      </c>
      <c r="D1148" s="2" t="s">
        <v>68</v>
      </c>
      <c r="E1148" s="2" t="s">
        <v>171</v>
      </c>
      <c r="F1148" s="2" t="s">
        <v>172</v>
      </c>
    </row>
    <row r="1149" spans="1:6">
      <c r="A1149" s="3" t="s">
        <v>1912</v>
      </c>
      <c r="B1149" s="3" t="s">
        <v>103</v>
      </c>
      <c r="C1149" s="4" t="s">
        <v>173</v>
      </c>
      <c r="D1149" s="2" t="s">
        <v>174</v>
      </c>
      <c r="E1149" s="2" t="s">
        <v>175</v>
      </c>
      <c r="F1149" s="2" t="s">
        <v>176</v>
      </c>
    </row>
    <row r="1150" spans="1:6">
      <c r="A1150" s="3" t="s">
        <v>1912</v>
      </c>
      <c r="B1150" s="3" t="s">
        <v>103</v>
      </c>
      <c r="C1150" s="4" t="s">
        <v>797</v>
      </c>
      <c r="D1150" s="2" t="s">
        <v>798</v>
      </c>
      <c r="E1150" s="2" t="s">
        <v>799</v>
      </c>
      <c r="F1150" s="2" t="s">
        <v>798</v>
      </c>
    </row>
    <row r="1151" spans="1:6">
      <c r="A1151" s="3" t="s">
        <v>1912</v>
      </c>
      <c r="B1151" s="3" t="s">
        <v>103</v>
      </c>
      <c r="C1151" s="4" t="s">
        <v>177</v>
      </c>
      <c r="D1151" s="2" t="s">
        <v>178</v>
      </c>
      <c r="E1151" s="2" t="s">
        <v>179</v>
      </c>
      <c r="F1151" s="2" t="s">
        <v>180</v>
      </c>
    </row>
    <row r="1152" spans="1:6">
      <c r="A1152" s="3" t="s">
        <v>1912</v>
      </c>
      <c r="B1152" s="3" t="s">
        <v>103</v>
      </c>
      <c r="C1152" s="4" t="s">
        <v>800</v>
      </c>
      <c r="D1152" s="2" t="s">
        <v>71</v>
      </c>
      <c r="E1152" s="2" t="s">
        <v>801</v>
      </c>
      <c r="F1152" s="2" t="s">
        <v>802</v>
      </c>
    </row>
    <row r="1153" spans="1:6">
      <c r="A1153" s="3" t="s">
        <v>1912</v>
      </c>
      <c r="B1153" s="3" t="s">
        <v>103</v>
      </c>
      <c r="C1153" s="4" t="s">
        <v>803</v>
      </c>
      <c r="D1153" s="2" t="s">
        <v>804</v>
      </c>
      <c r="E1153" s="2" t="s">
        <v>805</v>
      </c>
      <c r="F1153" s="2" t="s">
        <v>806</v>
      </c>
    </row>
    <row r="1154" spans="1:6">
      <c r="A1154" s="3" t="s">
        <v>1912</v>
      </c>
      <c r="B1154" s="3" t="s">
        <v>103</v>
      </c>
      <c r="C1154" s="4" t="s">
        <v>1649</v>
      </c>
      <c r="D1154" s="2" t="s">
        <v>1650</v>
      </c>
      <c r="E1154" s="2" t="s">
        <v>1651</v>
      </c>
      <c r="F1154" s="2" t="s">
        <v>1650</v>
      </c>
    </row>
    <row r="1155" spans="1:6">
      <c r="A1155" s="3" t="s">
        <v>1912</v>
      </c>
      <c r="B1155" s="3" t="s">
        <v>103</v>
      </c>
      <c r="C1155" s="4" t="s">
        <v>185</v>
      </c>
      <c r="D1155" s="2" t="s">
        <v>186</v>
      </c>
      <c r="E1155" s="2" t="s">
        <v>187</v>
      </c>
      <c r="F1155" s="2" t="s">
        <v>188</v>
      </c>
    </row>
    <row r="1156" spans="1:6">
      <c r="A1156" s="3" t="s">
        <v>1912</v>
      </c>
      <c r="B1156" s="3" t="s">
        <v>103</v>
      </c>
      <c r="C1156" s="4" t="s">
        <v>1652</v>
      </c>
      <c r="D1156" s="2" t="s">
        <v>1653</v>
      </c>
      <c r="E1156" s="2" t="s">
        <v>1654</v>
      </c>
      <c r="F1156" s="2" t="s">
        <v>1655</v>
      </c>
    </row>
    <row r="1157" spans="1:6">
      <c r="A1157" s="3" t="s">
        <v>1912</v>
      </c>
      <c r="B1157" s="3" t="s">
        <v>103</v>
      </c>
      <c r="C1157" s="4" t="s">
        <v>1656</v>
      </c>
      <c r="D1157" s="2" t="s">
        <v>1657</v>
      </c>
      <c r="E1157" s="2" t="s">
        <v>1658</v>
      </c>
      <c r="F1157" s="2" t="s">
        <v>1659</v>
      </c>
    </row>
    <row r="1158" spans="1:6">
      <c r="A1158" s="3" t="s">
        <v>1912</v>
      </c>
      <c r="B1158" s="3" t="s">
        <v>103</v>
      </c>
      <c r="C1158" s="4" t="s">
        <v>189</v>
      </c>
      <c r="D1158" s="2" t="s">
        <v>190</v>
      </c>
      <c r="E1158" s="2" t="s">
        <v>191</v>
      </c>
      <c r="F1158" s="2" t="s">
        <v>192</v>
      </c>
    </row>
    <row r="1159" spans="1:6">
      <c r="A1159" s="3" t="s">
        <v>1912</v>
      </c>
      <c r="B1159" s="3" t="s">
        <v>103</v>
      </c>
      <c r="C1159" s="4" t="s">
        <v>1660</v>
      </c>
      <c r="D1159" s="2" t="s">
        <v>1661</v>
      </c>
      <c r="E1159" s="2" t="s">
        <v>1662</v>
      </c>
      <c r="F1159" s="2" t="s">
        <v>1663</v>
      </c>
    </row>
    <row r="1160" spans="1:6">
      <c r="A1160" s="3" t="s">
        <v>1912</v>
      </c>
      <c r="B1160" s="3" t="s">
        <v>103</v>
      </c>
      <c r="C1160" s="4" t="s">
        <v>1664</v>
      </c>
      <c r="D1160" s="2" t="s">
        <v>1665</v>
      </c>
      <c r="E1160" s="2" t="s">
        <v>1666</v>
      </c>
      <c r="F1160" s="2" t="s">
        <v>1667</v>
      </c>
    </row>
    <row r="1161" spans="1:6">
      <c r="A1161" s="3" t="s">
        <v>1912</v>
      </c>
      <c r="B1161" s="3" t="s">
        <v>103</v>
      </c>
      <c r="C1161" s="4" t="s">
        <v>1668</v>
      </c>
      <c r="D1161" s="2" t="s">
        <v>1669</v>
      </c>
      <c r="E1161" s="2" t="s">
        <v>1670</v>
      </c>
      <c r="F1161" s="2" t="s">
        <v>1671</v>
      </c>
    </row>
    <row r="1162" spans="1:6">
      <c r="A1162" s="3" t="s">
        <v>1912</v>
      </c>
      <c r="B1162" s="3" t="s">
        <v>103</v>
      </c>
      <c r="C1162" s="4" t="s">
        <v>1672</v>
      </c>
      <c r="D1162" s="2" t="s">
        <v>1673</v>
      </c>
      <c r="E1162" s="2" t="s">
        <v>1674</v>
      </c>
      <c r="F1162" s="2" t="s">
        <v>1675</v>
      </c>
    </row>
    <row r="1163" spans="1:6">
      <c r="A1163" s="3" t="s">
        <v>1912</v>
      </c>
      <c r="B1163" s="3" t="s">
        <v>103</v>
      </c>
      <c r="C1163" s="4" t="s">
        <v>1676</v>
      </c>
      <c r="D1163" s="2" t="s">
        <v>1677</v>
      </c>
      <c r="E1163" s="2" t="s">
        <v>1678</v>
      </c>
      <c r="F1163" s="2" t="s">
        <v>1679</v>
      </c>
    </row>
    <row r="1164" spans="1:6">
      <c r="A1164" s="3" t="s">
        <v>1912</v>
      </c>
      <c r="B1164" s="3" t="s">
        <v>103</v>
      </c>
      <c r="C1164" s="4" t="s">
        <v>1680</v>
      </c>
      <c r="D1164" s="2" t="s">
        <v>1681</v>
      </c>
      <c r="E1164" s="2" t="s">
        <v>1682</v>
      </c>
      <c r="F1164" s="2" t="s">
        <v>1683</v>
      </c>
    </row>
    <row r="1165" spans="1:6">
      <c r="A1165" s="3" t="s">
        <v>1912</v>
      </c>
      <c r="B1165" s="3" t="s">
        <v>103</v>
      </c>
      <c r="C1165" s="4" t="s">
        <v>1684</v>
      </c>
      <c r="D1165" s="2" t="s">
        <v>1685</v>
      </c>
      <c r="E1165" s="2" t="s">
        <v>1686</v>
      </c>
      <c r="F1165" s="2" t="s">
        <v>1687</v>
      </c>
    </row>
    <row r="1166" spans="1:6">
      <c r="A1166" s="3" t="s">
        <v>1912</v>
      </c>
      <c r="B1166" s="3" t="s">
        <v>103</v>
      </c>
      <c r="C1166" s="4" t="s">
        <v>1688</v>
      </c>
      <c r="D1166" s="2" t="s">
        <v>1689</v>
      </c>
      <c r="E1166" s="2" t="s">
        <v>1690</v>
      </c>
      <c r="F1166" s="2" t="s">
        <v>1691</v>
      </c>
    </row>
    <row r="1167" spans="1:6">
      <c r="A1167" s="3" t="s">
        <v>1912</v>
      </c>
      <c r="B1167" s="3" t="s">
        <v>103</v>
      </c>
      <c r="C1167" s="4" t="s">
        <v>1692</v>
      </c>
      <c r="D1167" s="2" t="s">
        <v>1693</v>
      </c>
      <c r="E1167" s="2" t="s">
        <v>1694</v>
      </c>
      <c r="F1167" s="2" t="s">
        <v>1695</v>
      </c>
    </row>
    <row r="1168" spans="1:6">
      <c r="A1168" s="3" t="s">
        <v>1912</v>
      </c>
      <c r="B1168" s="3" t="s">
        <v>103</v>
      </c>
      <c r="C1168" s="4" t="s">
        <v>1696</v>
      </c>
      <c r="D1168" s="2" t="s">
        <v>1697</v>
      </c>
      <c r="E1168" s="2" t="s">
        <v>1698</v>
      </c>
      <c r="F1168" s="2" t="s">
        <v>1699</v>
      </c>
    </row>
    <row r="1169" spans="1:6">
      <c r="A1169" s="3" t="s">
        <v>1912</v>
      </c>
      <c r="B1169" s="3" t="s">
        <v>103</v>
      </c>
      <c r="C1169" s="4" t="s">
        <v>1700</v>
      </c>
      <c r="D1169" s="2" t="s">
        <v>1701</v>
      </c>
      <c r="E1169" s="2" t="s">
        <v>1702</v>
      </c>
      <c r="F1169" s="2" t="s">
        <v>1703</v>
      </c>
    </row>
    <row r="1170" spans="1:6">
      <c r="A1170" s="3" t="s">
        <v>1912</v>
      </c>
      <c r="B1170" s="3" t="s">
        <v>103</v>
      </c>
      <c r="C1170" s="4" t="s">
        <v>1704</v>
      </c>
      <c r="D1170" s="2" t="s">
        <v>1705</v>
      </c>
      <c r="E1170" s="2" t="s">
        <v>1706</v>
      </c>
      <c r="F1170" s="2" t="s">
        <v>1707</v>
      </c>
    </row>
    <row r="1171" spans="1:6">
      <c r="A1171" s="3" t="s">
        <v>1912</v>
      </c>
      <c r="B1171" s="3" t="s">
        <v>103</v>
      </c>
      <c r="C1171" s="4" t="s">
        <v>1708</v>
      </c>
      <c r="D1171" s="2" t="s">
        <v>1709</v>
      </c>
      <c r="E1171" s="2" t="s">
        <v>1710</v>
      </c>
      <c r="F1171" s="2" t="s">
        <v>1711</v>
      </c>
    </row>
    <row r="1172" spans="1:6">
      <c r="A1172" s="3" t="s">
        <v>1912</v>
      </c>
      <c r="B1172" s="3" t="s">
        <v>103</v>
      </c>
      <c r="C1172" s="4" t="s">
        <v>1712</v>
      </c>
      <c r="D1172" s="2" t="s">
        <v>1713</v>
      </c>
      <c r="E1172" s="2" t="s">
        <v>1714</v>
      </c>
      <c r="F1172" s="2" t="s">
        <v>1715</v>
      </c>
    </row>
    <row r="1173" spans="1:6">
      <c r="A1173" s="3" t="s">
        <v>1912</v>
      </c>
      <c r="B1173" s="3" t="s">
        <v>103</v>
      </c>
      <c r="C1173" s="4" t="s">
        <v>1716</v>
      </c>
      <c r="D1173" s="2" t="s">
        <v>1717</v>
      </c>
      <c r="E1173" s="2" t="s">
        <v>1718</v>
      </c>
      <c r="F1173" s="2" t="s">
        <v>1719</v>
      </c>
    </row>
    <row r="1174" spans="1:6">
      <c r="A1174" s="3" t="s">
        <v>1912</v>
      </c>
      <c r="B1174" s="3" t="s">
        <v>103</v>
      </c>
      <c r="C1174" s="4" t="s">
        <v>1720</v>
      </c>
      <c r="D1174" s="2" t="s">
        <v>1721</v>
      </c>
      <c r="E1174" s="2" t="s">
        <v>1722</v>
      </c>
      <c r="F1174" s="2" t="s">
        <v>1723</v>
      </c>
    </row>
    <row r="1175" spans="1:6">
      <c r="A1175" s="3" t="s">
        <v>1912</v>
      </c>
      <c r="B1175" s="3" t="s">
        <v>103</v>
      </c>
      <c r="C1175" s="4" t="s">
        <v>1724</v>
      </c>
      <c r="D1175" s="2" t="s">
        <v>1725</v>
      </c>
      <c r="E1175" s="2" t="s">
        <v>1726</v>
      </c>
      <c r="F1175" s="2" t="s">
        <v>1727</v>
      </c>
    </row>
    <row r="1176" spans="1:6">
      <c r="A1176" s="3" t="s">
        <v>1912</v>
      </c>
      <c r="B1176" s="3" t="s">
        <v>103</v>
      </c>
      <c r="C1176" s="4" t="s">
        <v>1728</v>
      </c>
      <c r="D1176" s="2" t="s">
        <v>1729</v>
      </c>
      <c r="E1176" s="2" t="s">
        <v>1730</v>
      </c>
      <c r="F1176" s="2" t="s">
        <v>1731</v>
      </c>
    </row>
    <row r="1177" spans="1:6">
      <c r="A1177" s="3" t="s">
        <v>1912</v>
      </c>
      <c r="B1177" s="3" t="s">
        <v>103</v>
      </c>
      <c r="C1177" s="4" t="s">
        <v>1732</v>
      </c>
      <c r="D1177" s="2" t="s">
        <v>1733</v>
      </c>
      <c r="E1177" s="2" t="s">
        <v>1734</v>
      </c>
      <c r="F1177" s="2" t="s">
        <v>1735</v>
      </c>
    </row>
    <row r="1178" spans="1:6">
      <c r="A1178" s="3" t="s">
        <v>1912</v>
      </c>
      <c r="B1178" s="3" t="s">
        <v>103</v>
      </c>
      <c r="C1178" s="4" t="s">
        <v>1736</v>
      </c>
      <c r="D1178" s="2" t="s">
        <v>1737</v>
      </c>
      <c r="E1178" s="2" t="s">
        <v>1738</v>
      </c>
      <c r="F1178" s="2" t="s">
        <v>1739</v>
      </c>
    </row>
    <row r="1179" spans="1:6">
      <c r="A1179" s="3" t="s">
        <v>1912</v>
      </c>
      <c r="B1179" s="3" t="s">
        <v>103</v>
      </c>
      <c r="C1179" s="4" t="s">
        <v>1740</v>
      </c>
      <c r="D1179" s="2" t="s">
        <v>1741</v>
      </c>
      <c r="E1179" s="2" t="s">
        <v>1742</v>
      </c>
      <c r="F1179" s="2" t="s">
        <v>1743</v>
      </c>
    </row>
    <row r="1180" spans="1:6">
      <c r="A1180" s="3" t="s">
        <v>1912</v>
      </c>
      <c r="B1180" s="3" t="s">
        <v>103</v>
      </c>
      <c r="C1180" s="4" t="s">
        <v>1744</v>
      </c>
      <c r="D1180" s="2" t="s">
        <v>1745</v>
      </c>
      <c r="E1180" s="2" t="s">
        <v>1746</v>
      </c>
      <c r="F1180" s="2" t="s">
        <v>1747</v>
      </c>
    </row>
    <row r="1181" spans="1:6">
      <c r="A1181" s="3" t="s">
        <v>1912</v>
      </c>
      <c r="B1181" s="3" t="s">
        <v>103</v>
      </c>
      <c r="C1181" s="4" t="s">
        <v>1748</v>
      </c>
      <c r="D1181" s="2" t="s">
        <v>1749</v>
      </c>
      <c r="E1181" s="2" t="s">
        <v>1750</v>
      </c>
      <c r="F1181" s="2" t="s">
        <v>1751</v>
      </c>
    </row>
    <row r="1182" spans="1:6">
      <c r="A1182" s="3" t="s">
        <v>1912</v>
      </c>
      <c r="B1182" s="3" t="s">
        <v>103</v>
      </c>
      <c r="C1182" s="4" t="s">
        <v>1752</v>
      </c>
      <c r="D1182" s="2" t="s">
        <v>1753</v>
      </c>
      <c r="E1182" s="2" t="s">
        <v>1754</v>
      </c>
      <c r="F1182" s="2" t="s">
        <v>1755</v>
      </c>
    </row>
    <row r="1183" spans="1:6">
      <c r="A1183" s="3" t="s">
        <v>1912</v>
      </c>
      <c r="B1183" s="3" t="s">
        <v>103</v>
      </c>
      <c r="C1183" s="4" t="s">
        <v>1756</v>
      </c>
      <c r="D1183" s="2" t="s">
        <v>1757</v>
      </c>
      <c r="E1183" s="2" t="s">
        <v>1758</v>
      </c>
      <c r="F1183" s="2" t="s">
        <v>1759</v>
      </c>
    </row>
    <row r="1184" spans="1:6">
      <c r="A1184" s="3" t="s">
        <v>1912</v>
      </c>
      <c r="B1184" s="3" t="s">
        <v>103</v>
      </c>
      <c r="C1184" s="4" t="s">
        <v>1760</v>
      </c>
      <c r="D1184" s="2" t="s">
        <v>1761</v>
      </c>
      <c r="E1184" s="2" t="s">
        <v>1762</v>
      </c>
      <c r="F1184" s="2" t="s">
        <v>1763</v>
      </c>
    </row>
    <row r="1185" spans="1:6">
      <c r="A1185" s="3" t="s">
        <v>1912</v>
      </c>
      <c r="B1185" s="3" t="s">
        <v>103</v>
      </c>
      <c r="C1185" s="4" t="s">
        <v>1764</v>
      </c>
      <c r="D1185" s="2" t="s">
        <v>1765</v>
      </c>
      <c r="E1185" s="2" t="s">
        <v>1766</v>
      </c>
      <c r="F1185" s="2" t="s">
        <v>1767</v>
      </c>
    </row>
    <row r="1186" spans="1:6">
      <c r="A1186" s="3" t="s">
        <v>1912</v>
      </c>
      <c r="B1186" s="3" t="s">
        <v>103</v>
      </c>
      <c r="C1186" s="4" t="s">
        <v>1768</v>
      </c>
      <c r="D1186" s="2" t="s">
        <v>1769</v>
      </c>
      <c r="E1186" s="2" t="s">
        <v>1770</v>
      </c>
      <c r="F1186" s="2" t="s">
        <v>1771</v>
      </c>
    </row>
    <row r="1187" spans="1:6">
      <c r="A1187" s="3" t="s">
        <v>1912</v>
      </c>
      <c r="B1187" s="3" t="s">
        <v>103</v>
      </c>
      <c r="C1187" s="4" t="s">
        <v>1165</v>
      </c>
      <c r="D1187" s="2" t="s">
        <v>1166</v>
      </c>
      <c r="E1187" s="2" t="s">
        <v>1167</v>
      </c>
      <c r="F1187" s="2" t="s">
        <v>1168</v>
      </c>
    </row>
    <row r="1188" spans="1:6">
      <c r="A1188" s="3" t="s">
        <v>1912</v>
      </c>
      <c r="B1188" s="3" t="s">
        <v>103</v>
      </c>
      <c r="C1188" s="4" t="s">
        <v>669</v>
      </c>
      <c r="D1188" s="2" t="s">
        <v>670</v>
      </c>
      <c r="E1188" s="2" t="s">
        <v>671</v>
      </c>
      <c r="F1188" s="2" t="s">
        <v>672</v>
      </c>
    </row>
    <row r="1189" spans="1:6">
      <c r="A1189" s="3" t="s">
        <v>1912</v>
      </c>
      <c r="B1189" s="3" t="s">
        <v>103</v>
      </c>
      <c r="C1189" s="4" t="s">
        <v>1173</v>
      </c>
      <c r="D1189" s="2" t="s">
        <v>1174</v>
      </c>
      <c r="E1189" s="2" t="s">
        <v>1175</v>
      </c>
      <c r="F1189" s="2" t="s">
        <v>1176</v>
      </c>
    </row>
    <row r="1190" spans="1:6">
      <c r="A1190" s="3" t="s">
        <v>1912</v>
      </c>
      <c r="B1190" s="3" t="s">
        <v>103</v>
      </c>
      <c r="C1190" s="4" t="s">
        <v>966</v>
      </c>
      <c r="D1190" s="2" t="s">
        <v>967</v>
      </c>
      <c r="E1190" s="2" t="s">
        <v>968</v>
      </c>
      <c r="F1190" s="2" t="s">
        <v>969</v>
      </c>
    </row>
    <row r="1191" spans="1:6">
      <c r="A1191" s="3" t="s">
        <v>1912</v>
      </c>
      <c r="B1191" s="3" t="s">
        <v>103</v>
      </c>
      <c r="C1191" s="4" t="s">
        <v>1456</v>
      </c>
      <c r="D1191" s="2" t="s">
        <v>1457</v>
      </c>
      <c r="E1191" s="2" t="s">
        <v>1458</v>
      </c>
      <c r="F1191" s="2" t="s">
        <v>1459</v>
      </c>
    </row>
    <row r="1192" spans="1:6">
      <c r="A1192" s="3" t="s">
        <v>1912</v>
      </c>
      <c r="B1192" s="3" t="s">
        <v>103</v>
      </c>
      <c r="C1192" s="4" t="s">
        <v>1193</v>
      </c>
      <c r="D1192" s="2" t="s">
        <v>1194</v>
      </c>
      <c r="E1192" s="2" t="s">
        <v>1195</v>
      </c>
      <c r="F1192" s="2" t="s">
        <v>1194</v>
      </c>
    </row>
    <row r="1193" spans="1:6">
      <c r="A1193" s="3" t="s">
        <v>1912</v>
      </c>
      <c r="B1193" s="3" t="s">
        <v>103</v>
      </c>
      <c r="C1193" s="4" t="s">
        <v>1917</v>
      </c>
      <c r="D1193" s="2" t="s">
        <v>1918</v>
      </c>
      <c r="E1193" s="2" t="s">
        <v>1919</v>
      </c>
      <c r="F1193" s="2" t="s">
        <v>1920</v>
      </c>
    </row>
    <row r="1194" spans="1:6">
      <c r="A1194" s="3" t="s">
        <v>1912</v>
      </c>
      <c r="B1194" s="3" t="s">
        <v>103</v>
      </c>
      <c r="C1194" s="4" t="s">
        <v>1921</v>
      </c>
      <c r="D1194" s="2" t="s">
        <v>1922</v>
      </c>
      <c r="E1194" s="2" t="s">
        <v>1923</v>
      </c>
      <c r="F1194" s="2" t="s">
        <v>1922</v>
      </c>
    </row>
    <row r="1195" spans="1:6">
      <c r="A1195" s="3" t="s">
        <v>1912</v>
      </c>
      <c r="B1195" s="3" t="s">
        <v>103</v>
      </c>
      <c r="C1195" s="4" t="s">
        <v>1924</v>
      </c>
      <c r="D1195" s="2" t="s">
        <v>1925</v>
      </c>
      <c r="E1195" s="2" t="s">
        <v>1926</v>
      </c>
      <c r="F1195" s="2" t="s">
        <v>1925</v>
      </c>
    </row>
    <row r="1196" spans="1:6">
      <c r="A1196" s="3" t="s">
        <v>1912</v>
      </c>
      <c r="B1196" s="3" t="s">
        <v>103</v>
      </c>
      <c r="C1196" s="4" t="s">
        <v>1927</v>
      </c>
      <c r="D1196" s="2" t="s">
        <v>1928</v>
      </c>
      <c r="E1196" s="2" t="s">
        <v>1929</v>
      </c>
      <c r="F1196" s="2" t="s">
        <v>1930</v>
      </c>
    </row>
    <row r="1197" spans="1:6">
      <c r="A1197" s="3" t="s">
        <v>1912</v>
      </c>
      <c r="B1197" s="3" t="s">
        <v>103</v>
      </c>
      <c r="C1197" s="4" t="s">
        <v>1460</v>
      </c>
      <c r="D1197" s="2" t="s">
        <v>1461</v>
      </c>
      <c r="E1197" s="2" t="s">
        <v>1462</v>
      </c>
      <c r="F1197" s="2" t="s">
        <v>1463</v>
      </c>
    </row>
    <row r="1198" spans="1:6">
      <c r="A1198" s="3" t="s">
        <v>1912</v>
      </c>
      <c r="B1198" s="3" t="s">
        <v>103</v>
      </c>
      <c r="C1198" s="4" t="s">
        <v>1464</v>
      </c>
      <c r="D1198" s="2" t="s">
        <v>1465</v>
      </c>
      <c r="E1198" s="2" t="s">
        <v>1466</v>
      </c>
      <c r="F1198" s="2" t="s">
        <v>1465</v>
      </c>
    </row>
    <row r="1199" spans="1:6">
      <c r="A1199" s="3" t="s">
        <v>1931</v>
      </c>
      <c r="B1199" s="3" t="s">
        <v>104</v>
      </c>
      <c r="C1199" s="4" t="s">
        <v>116</v>
      </c>
      <c r="D1199" s="2" t="s">
        <v>67</v>
      </c>
      <c r="E1199" s="2" t="s">
        <v>117</v>
      </c>
      <c r="F1199" s="2" t="s">
        <v>118</v>
      </c>
    </row>
    <row r="1200" spans="1:6">
      <c r="A1200" s="3" t="s">
        <v>1931</v>
      </c>
      <c r="B1200" s="3" t="s">
        <v>104</v>
      </c>
      <c r="C1200" s="4" t="s">
        <v>119</v>
      </c>
      <c r="D1200" s="2" t="s">
        <v>69</v>
      </c>
      <c r="E1200" s="2" t="s">
        <v>63</v>
      </c>
      <c r="F1200" s="2" t="s">
        <v>120</v>
      </c>
    </row>
    <row r="1201" spans="1:6">
      <c r="A1201" s="3" t="s">
        <v>1931</v>
      </c>
      <c r="B1201" s="3" t="s">
        <v>104</v>
      </c>
      <c r="C1201" s="4" t="s">
        <v>129</v>
      </c>
      <c r="D1201" s="2" t="s">
        <v>73</v>
      </c>
      <c r="E1201" s="2" t="s">
        <v>130</v>
      </c>
      <c r="F1201" s="2" t="s">
        <v>131</v>
      </c>
    </row>
    <row r="1202" spans="1:6">
      <c r="A1202" s="3" t="s">
        <v>1931</v>
      </c>
      <c r="B1202" s="3" t="s">
        <v>104</v>
      </c>
      <c r="C1202" s="4" t="s">
        <v>132</v>
      </c>
      <c r="D1202" s="2" t="s">
        <v>70</v>
      </c>
      <c r="E1202" s="2" t="s">
        <v>133</v>
      </c>
      <c r="F1202" s="2" t="s">
        <v>134</v>
      </c>
    </row>
    <row r="1203" spans="1:6">
      <c r="A1203" s="3" t="s">
        <v>1931</v>
      </c>
      <c r="B1203" s="3" t="s">
        <v>104</v>
      </c>
      <c r="C1203" s="4" t="s">
        <v>135</v>
      </c>
      <c r="D1203" s="2" t="s">
        <v>136</v>
      </c>
      <c r="E1203" s="2" t="s">
        <v>137</v>
      </c>
      <c r="F1203" s="2" t="s">
        <v>138</v>
      </c>
    </row>
    <row r="1204" spans="1:6">
      <c r="A1204" s="3" t="s">
        <v>1931</v>
      </c>
      <c r="B1204" s="3" t="s">
        <v>104</v>
      </c>
      <c r="C1204" s="4" t="s">
        <v>164</v>
      </c>
      <c r="D1204" s="2" t="s">
        <v>60</v>
      </c>
      <c r="E1204" s="2" t="s">
        <v>165</v>
      </c>
      <c r="F1204" s="2" t="s">
        <v>166</v>
      </c>
    </row>
    <row r="1205" spans="1:6">
      <c r="A1205" s="3" t="s">
        <v>1931</v>
      </c>
      <c r="B1205" s="3" t="s">
        <v>104</v>
      </c>
      <c r="C1205" s="4" t="s">
        <v>167</v>
      </c>
      <c r="D1205" s="2" t="s">
        <v>61</v>
      </c>
      <c r="E1205" s="2" t="s">
        <v>168</v>
      </c>
      <c r="F1205" s="2" t="s">
        <v>169</v>
      </c>
    </row>
    <row r="1206" spans="1:6">
      <c r="A1206" s="3" t="s">
        <v>1931</v>
      </c>
      <c r="B1206" s="3" t="s">
        <v>104</v>
      </c>
      <c r="C1206" s="4" t="s">
        <v>170</v>
      </c>
      <c r="D1206" s="2" t="s">
        <v>68</v>
      </c>
      <c r="E1206" s="2" t="s">
        <v>171</v>
      </c>
      <c r="F1206" s="2" t="s">
        <v>172</v>
      </c>
    </row>
    <row r="1207" spans="1:6">
      <c r="A1207" s="3" t="s">
        <v>1931</v>
      </c>
      <c r="B1207" s="3" t="s">
        <v>104</v>
      </c>
      <c r="C1207" s="4" t="s">
        <v>173</v>
      </c>
      <c r="D1207" s="2" t="s">
        <v>174</v>
      </c>
      <c r="E1207" s="2" t="s">
        <v>175</v>
      </c>
      <c r="F1207" s="2" t="s">
        <v>176</v>
      </c>
    </row>
    <row r="1208" spans="1:6">
      <c r="A1208" s="3" t="s">
        <v>1931</v>
      </c>
      <c r="B1208" s="3" t="s">
        <v>104</v>
      </c>
      <c r="C1208" s="4" t="s">
        <v>797</v>
      </c>
      <c r="D1208" s="2" t="s">
        <v>798</v>
      </c>
      <c r="E1208" s="2" t="s">
        <v>799</v>
      </c>
      <c r="F1208" s="2" t="s">
        <v>798</v>
      </c>
    </row>
    <row r="1209" spans="1:6">
      <c r="A1209" s="3" t="s">
        <v>1931</v>
      </c>
      <c r="B1209" s="3" t="s">
        <v>104</v>
      </c>
      <c r="C1209" s="4" t="s">
        <v>177</v>
      </c>
      <c r="D1209" s="2" t="s">
        <v>178</v>
      </c>
      <c r="E1209" s="2" t="s">
        <v>179</v>
      </c>
      <c r="F1209" s="2" t="s">
        <v>180</v>
      </c>
    </row>
    <row r="1210" spans="1:6">
      <c r="A1210" s="3" t="s">
        <v>1931</v>
      </c>
      <c r="B1210" s="3" t="s">
        <v>104</v>
      </c>
      <c r="C1210" s="4" t="s">
        <v>800</v>
      </c>
      <c r="D1210" s="2" t="s">
        <v>71</v>
      </c>
      <c r="E1210" s="2" t="s">
        <v>801</v>
      </c>
      <c r="F1210" s="2" t="s">
        <v>802</v>
      </c>
    </row>
    <row r="1211" spans="1:6">
      <c r="A1211" s="3" t="s">
        <v>1931</v>
      </c>
      <c r="B1211" s="3" t="s">
        <v>104</v>
      </c>
      <c r="C1211" s="4" t="s">
        <v>803</v>
      </c>
      <c r="D1211" s="2" t="s">
        <v>804</v>
      </c>
      <c r="E1211" s="2" t="s">
        <v>805</v>
      </c>
      <c r="F1211" s="2" t="s">
        <v>806</v>
      </c>
    </row>
    <row r="1212" spans="1:6">
      <c r="A1212" s="3" t="s">
        <v>1931</v>
      </c>
      <c r="B1212" s="3" t="s">
        <v>104</v>
      </c>
      <c r="C1212" s="4" t="s">
        <v>1649</v>
      </c>
      <c r="D1212" s="2" t="s">
        <v>1650</v>
      </c>
      <c r="E1212" s="2" t="s">
        <v>1651</v>
      </c>
      <c r="F1212" s="2" t="s">
        <v>1650</v>
      </c>
    </row>
    <row r="1213" spans="1:6">
      <c r="A1213" s="3" t="s">
        <v>1931</v>
      </c>
      <c r="B1213" s="3" t="s">
        <v>104</v>
      </c>
      <c r="C1213" s="4" t="s">
        <v>185</v>
      </c>
      <c r="D1213" s="2" t="s">
        <v>186</v>
      </c>
      <c r="E1213" s="2" t="s">
        <v>187</v>
      </c>
      <c r="F1213" s="2" t="s">
        <v>188</v>
      </c>
    </row>
    <row r="1214" spans="1:6">
      <c r="A1214" s="3" t="s">
        <v>1931</v>
      </c>
      <c r="B1214" s="3" t="s">
        <v>104</v>
      </c>
      <c r="C1214" s="4" t="s">
        <v>1652</v>
      </c>
      <c r="D1214" s="2" t="s">
        <v>1653</v>
      </c>
      <c r="E1214" s="2" t="s">
        <v>1654</v>
      </c>
      <c r="F1214" s="2" t="s">
        <v>1655</v>
      </c>
    </row>
    <row r="1215" spans="1:6">
      <c r="A1215" s="3" t="s">
        <v>1931</v>
      </c>
      <c r="B1215" s="3" t="s">
        <v>104</v>
      </c>
      <c r="C1215" s="4" t="s">
        <v>1656</v>
      </c>
      <c r="D1215" s="2" t="s">
        <v>1657</v>
      </c>
      <c r="E1215" s="2" t="s">
        <v>1658</v>
      </c>
      <c r="F1215" s="2" t="s">
        <v>1659</v>
      </c>
    </row>
    <row r="1216" spans="1:6">
      <c r="A1216" s="3" t="s">
        <v>1931</v>
      </c>
      <c r="B1216" s="3" t="s">
        <v>104</v>
      </c>
      <c r="C1216" s="4" t="s">
        <v>1660</v>
      </c>
      <c r="D1216" s="2" t="s">
        <v>1661</v>
      </c>
      <c r="E1216" s="2" t="s">
        <v>1662</v>
      </c>
      <c r="F1216" s="2" t="s">
        <v>1663</v>
      </c>
    </row>
    <row r="1217" spans="1:6">
      <c r="A1217" s="3" t="s">
        <v>1931</v>
      </c>
      <c r="B1217" s="3" t="s">
        <v>104</v>
      </c>
      <c r="C1217" s="4" t="s">
        <v>1664</v>
      </c>
      <c r="D1217" s="2" t="s">
        <v>1665</v>
      </c>
      <c r="E1217" s="2" t="s">
        <v>1666</v>
      </c>
      <c r="F1217" s="2" t="s">
        <v>1667</v>
      </c>
    </row>
    <row r="1218" spans="1:6">
      <c r="A1218" s="3" t="s">
        <v>1931</v>
      </c>
      <c r="B1218" s="3" t="s">
        <v>104</v>
      </c>
      <c r="C1218" s="4" t="s">
        <v>1668</v>
      </c>
      <c r="D1218" s="2" t="s">
        <v>1669</v>
      </c>
      <c r="E1218" s="2" t="s">
        <v>1670</v>
      </c>
      <c r="F1218" s="2" t="s">
        <v>1671</v>
      </c>
    </row>
    <row r="1219" spans="1:6">
      <c r="A1219" s="3" t="s">
        <v>1931</v>
      </c>
      <c r="B1219" s="3" t="s">
        <v>104</v>
      </c>
      <c r="C1219" s="4" t="s">
        <v>1165</v>
      </c>
      <c r="D1219" s="2" t="s">
        <v>1166</v>
      </c>
      <c r="E1219" s="2" t="s">
        <v>1167</v>
      </c>
      <c r="F1219" s="2" t="s">
        <v>1168</v>
      </c>
    </row>
    <row r="1220" spans="1:6">
      <c r="A1220" s="3" t="s">
        <v>1932</v>
      </c>
      <c r="B1220" s="3" t="s">
        <v>105</v>
      </c>
      <c r="C1220" s="4" t="s">
        <v>758</v>
      </c>
      <c r="D1220" s="2" t="s">
        <v>759</v>
      </c>
      <c r="E1220" s="2" t="s">
        <v>760</v>
      </c>
      <c r="F1220" s="2" t="s">
        <v>761</v>
      </c>
    </row>
    <row r="1221" spans="1:6">
      <c r="A1221" s="3" t="s">
        <v>1932</v>
      </c>
      <c r="B1221" s="3" t="s">
        <v>105</v>
      </c>
      <c r="C1221" s="4" t="s">
        <v>807</v>
      </c>
      <c r="D1221" s="2" t="s">
        <v>808</v>
      </c>
      <c r="E1221" s="2" t="s">
        <v>809</v>
      </c>
      <c r="F1221" s="2" t="s">
        <v>810</v>
      </c>
    </row>
    <row r="1222" spans="1:6">
      <c r="A1222" s="3" t="s">
        <v>1932</v>
      </c>
      <c r="B1222" s="3" t="s">
        <v>105</v>
      </c>
      <c r="C1222" s="4" t="s">
        <v>811</v>
      </c>
      <c r="D1222" s="2" t="s">
        <v>812</v>
      </c>
      <c r="E1222" s="2" t="s">
        <v>813</v>
      </c>
      <c r="F1222" s="2" t="s">
        <v>814</v>
      </c>
    </row>
    <row r="1223" spans="1:6">
      <c r="A1223" s="3" t="s">
        <v>1932</v>
      </c>
      <c r="B1223" s="3" t="s">
        <v>105</v>
      </c>
      <c r="C1223" s="4" t="s">
        <v>815</v>
      </c>
      <c r="D1223" s="2" t="s">
        <v>816</v>
      </c>
      <c r="E1223" s="2" t="s">
        <v>817</v>
      </c>
      <c r="F1223" s="2" t="s">
        <v>818</v>
      </c>
    </row>
    <row r="1224" spans="1:6">
      <c r="A1224" s="3" t="s">
        <v>1932</v>
      </c>
      <c r="B1224" s="3" t="s">
        <v>105</v>
      </c>
      <c r="C1224" s="4" t="s">
        <v>819</v>
      </c>
      <c r="D1224" s="2" t="s">
        <v>820</v>
      </c>
      <c r="E1224" s="2" t="s">
        <v>821</v>
      </c>
      <c r="F1224" s="2" t="s">
        <v>822</v>
      </c>
    </row>
    <row r="1225" spans="1:6">
      <c r="A1225" s="3" t="s">
        <v>1932</v>
      </c>
      <c r="B1225" s="3" t="s">
        <v>105</v>
      </c>
      <c r="C1225" s="4" t="s">
        <v>823</v>
      </c>
      <c r="D1225" s="2" t="s">
        <v>824</v>
      </c>
      <c r="E1225" s="2" t="s">
        <v>825</v>
      </c>
      <c r="F1225" s="2" t="s">
        <v>826</v>
      </c>
    </row>
    <row r="1226" spans="1:6">
      <c r="A1226" s="3" t="s">
        <v>1932</v>
      </c>
      <c r="B1226" s="3" t="s">
        <v>105</v>
      </c>
      <c r="C1226" s="4" t="s">
        <v>1505</v>
      </c>
      <c r="D1226" s="2" t="s">
        <v>1506</v>
      </c>
      <c r="E1226" s="2" t="s">
        <v>1507</v>
      </c>
      <c r="F1226" s="2" t="s">
        <v>1506</v>
      </c>
    </row>
    <row r="1227" spans="1:6">
      <c r="A1227" s="3" t="s">
        <v>1932</v>
      </c>
      <c r="B1227" s="3" t="s">
        <v>105</v>
      </c>
      <c r="C1227" s="4" t="s">
        <v>1508</v>
      </c>
      <c r="D1227" s="2" t="s">
        <v>1509</v>
      </c>
      <c r="E1227" s="2" t="s">
        <v>1507</v>
      </c>
      <c r="F1227" s="2" t="s">
        <v>1509</v>
      </c>
    </row>
    <row r="1228" spans="1:6">
      <c r="A1228" s="3" t="s">
        <v>1932</v>
      </c>
      <c r="B1228" s="3" t="s">
        <v>105</v>
      </c>
      <c r="C1228" s="4" t="s">
        <v>1510</v>
      </c>
      <c r="D1228" s="2" t="s">
        <v>1511</v>
      </c>
      <c r="E1228" s="2" t="s">
        <v>1507</v>
      </c>
      <c r="F1228" s="2" t="s">
        <v>1511</v>
      </c>
    </row>
    <row r="1229" spans="1:6">
      <c r="A1229" s="3" t="s">
        <v>1932</v>
      </c>
      <c r="B1229" s="3" t="s">
        <v>105</v>
      </c>
      <c r="C1229" s="4" t="s">
        <v>1512</v>
      </c>
      <c r="D1229" s="2" t="s">
        <v>1513</v>
      </c>
      <c r="E1229" s="2" t="s">
        <v>1507</v>
      </c>
      <c r="F1229" s="2" t="s">
        <v>1513</v>
      </c>
    </row>
    <row r="1230" spans="1:6">
      <c r="A1230" s="3" t="s">
        <v>1932</v>
      </c>
      <c r="B1230" s="3" t="s">
        <v>105</v>
      </c>
      <c r="C1230" s="4" t="s">
        <v>1514</v>
      </c>
      <c r="D1230" s="2" t="s">
        <v>1515</v>
      </c>
      <c r="E1230" s="2" t="s">
        <v>1507</v>
      </c>
      <c r="F1230" s="2" t="s">
        <v>1515</v>
      </c>
    </row>
    <row r="1231" spans="1:6">
      <c r="A1231" s="3" t="s">
        <v>1932</v>
      </c>
      <c r="B1231" s="3" t="s">
        <v>105</v>
      </c>
      <c r="C1231" s="4" t="s">
        <v>1516</v>
      </c>
      <c r="D1231" s="2" t="s">
        <v>1517</v>
      </c>
      <c r="E1231" s="2" t="s">
        <v>1507</v>
      </c>
      <c r="F1231" s="2" t="s">
        <v>1517</v>
      </c>
    </row>
    <row r="1232" spans="1:6">
      <c r="A1232" s="3" t="s">
        <v>1932</v>
      </c>
      <c r="B1232" s="3" t="s">
        <v>105</v>
      </c>
      <c r="C1232" s="4" t="s">
        <v>1518</v>
      </c>
      <c r="D1232" s="2" t="s">
        <v>1519</v>
      </c>
      <c r="E1232" s="2" t="s">
        <v>1520</v>
      </c>
      <c r="F1232" s="2" t="s">
        <v>1521</v>
      </c>
    </row>
    <row r="1233" spans="1:6">
      <c r="A1233" s="3" t="s">
        <v>1932</v>
      </c>
      <c r="B1233" s="3" t="s">
        <v>105</v>
      </c>
      <c r="C1233" s="4" t="s">
        <v>1522</v>
      </c>
      <c r="D1233" s="2" t="s">
        <v>1523</v>
      </c>
      <c r="E1233" s="2" t="s">
        <v>1524</v>
      </c>
      <c r="F1233" s="2" t="s">
        <v>1525</v>
      </c>
    </row>
    <row r="1234" spans="1:6">
      <c r="A1234" s="3" t="s">
        <v>1932</v>
      </c>
      <c r="B1234" s="3" t="s">
        <v>105</v>
      </c>
      <c r="C1234" s="4" t="s">
        <v>1526</v>
      </c>
      <c r="D1234" s="2" t="s">
        <v>1527</v>
      </c>
      <c r="E1234" s="2" t="s">
        <v>1507</v>
      </c>
      <c r="F1234" s="2" t="s">
        <v>1527</v>
      </c>
    </row>
    <row r="1235" spans="1:6">
      <c r="A1235" s="3" t="s">
        <v>1932</v>
      </c>
      <c r="B1235" s="3" t="s">
        <v>105</v>
      </c>
      <c r="C1235" s="4" t="s">
        <v>1528</v>
      </c>
      <c r="D1235" s="2" t="s">
        <v>1529</v>
      </c>
      <c r="E1235" s="2" t="s">
        <v>1507</v>
      </c>
      <c r="F1235" s="2" t="s">
        <v>1529</v>
      </c>
    </row>
    <row r="1236" spans="1:6">
      <c r="A1236" s="3" t="s">
        <v>1932</v>
      </c>
      <c r="B1236" s="3" t="s">
        <v>105</v>
      </c>
      <c r="C1236" s="4" t="s">
        <v>1530</v>
      </c>
      <c r="D1236" s="2" t="s">
        <v>1531</v>
      </c>
      <c r="E1236" s="2" t="s">
        <v>1507</v>
      </c>
      <c r="F1236" s="2" t="s">
        <v>1531</v>
      </c>
    </row>
    <row r="1237" spans="1:6">
      <c r="A1237" s="3" t="s">
        <v>1932</v>
      </c>
      <c r="B1237" s="3" t="s">
        <v>105</v>
      </c>
      <c r="C1237" s="4" t="s">
        <v>1532</v>
      </c>
      <c r="D1237" s="2" t="s">
        <v>1533</v>
      </c>
      <c r="E1237" s="2" t="s">
        <v>1507</v>
      </c>
      <c r="F1237" s="2" t="s">
        <v>1533</v>
      </c>
    </row>
    <row r="1238" spans="1:6">
      <c r="A1238" s="3" t="s">
        <v>1932</v>
      </c>
      <c r="B1238" s="3" t="s">
        <v>105</v>
      </c>
      <c r="C1238" s="4" t="s">
        <v>1534</v>
      </c>
      <c r="D1238" s="2" t="s">
        <v>1535</v>
      </c>
      <c r="E1238" s="2" t="s">
        <v>1507</v>
      </c>
      <c r="F1238" s="2" t="s">
        <v>1535</v>
      </c>
    </row>
    <row r="1239" spans="1:6">
      <c r="A1239" s="3" t="s">
        <v>1932</v>
      </c>
      <c r="B1239" s="3" t="s">
        <v>105</v>
      </c>
      <c r="C1239" s="4" t="s">
        <v>1536</v>
      </c>
      <c r="D1239" s="2" t="s">
        <v>1537</v>
      </c>
      <c r="E1239" s="2" t="s">
        <v>1507</v>
      </c>
      <c r="F1239" s="2" t="s">
        <v>1537</v>
      </c>
    </row>
    <row r="1240" spans="1:6">
      <c r="A1240" s="3" t="s">
        <v>1932</v>
      </c>
      <c r="B1240" s="3" t="s">
        <v>105</v>
      </c>
      <c r="C1240" s="4" t="s">
        <v>1538</v>
      </c>
      <c r="D1240" s="2" t="s">
        <v>1539</v>
      </c>
      <c r="E1240" s="2" t="s">
        <v>1507</v>
      </c>
      <c r="F1240" s="2" t="s">
        <v>1539</v>
      </c>
    </row>
    <row r="1241" spans="1:6">
      <c r="A1241" s="3" t="s">
        <v>1932</v>
      </c>
      <c r="B1241" s="3" t="s">
        <v>105</v>
      </c>
      <c r="C1241" s="4" t="s">
        <v>1540</v>
      </c>
      <c r="D1241" s="2" t="s">
        <v>1541</v>
      </c>
      <c r="E1241" s="2" t="s">
        <v>1507</v>
      </c>
      <c r="F1241" s="2" t="s">
        <v>1541</v>
      </c>
    </row>
    <row r="1242" spans="1:6">
      <c r="A1242" s="3" t="s">
        <v>1932</v>
      </c>
      <c r="B1242" s="3" t="s">
        <v>105</v>
      </c>
      <c r="C1242" s="4" t="s">
        <v>1542</v>
      </c>
      <c r="D1242" s="2" t="s">
        <v>1543</v>
      </c>
      <c r="E1242" s="2" t="s">
        <v>1507</v>
      </c>
      <c r="F1242" s="2" t="s">
        <v>1543</v>
      </c>
    </row>
    <row r="1243" spans="1:6">
      <c r="A1243" s="3" t="s">
        <v>1932</v>
      </c>
      <c r="B1243" s="3" t="s">
        <v>105</v>
      </c>
      <c r="C1243" s="4" t="s">
        <v>1544</v>
      </c>
      <c r="D1243" s="2" t="s">
        <v>1545</v>
      </c>
      <c r="E1243" s="2" t="s">
        <v>1507</v>
      </c>
      <c r="F1243" s="2" t="s">
        <v>1545</v>
      </c>
    </row>
    <row r="1244" spans="1:6">
      <c r="A1244" s="3" t="s">
        <v>1932</v>
      </c>
      <c r="B1244" s="3" t="s">
        <v>105</v>
      </c>
      <c r="C1244" s="4" t="s">
        <v>1546</v>
      </c>
      <c r="D1244" s="2" t="s">
        <v>1547</v>
      </c>
      <c r="E1244" s="2" t="s">
        <v>1507</v>
      </c>
      <c r="F1244" s="2" t="s">
        <v>1547</v>
      </c>
    </row>
    <row r="1245" spans="1:6">
      <c r="A1245" s="3" t="s">
        <v>1932</v>
      </c>
      <c r="B1245" s="3" t="s">
        <v>105</v>
      </c>
      <c r="C1245" s="4" t="s">
        <v>1548</v>
      </c>
      <c r="D1245" s="2" t="s">
        <v>1549</v>
      </c>
      <c r="E1245" s="2" t="s">
        <v>1507</v>
      </c>
      <c r="F1245" s="2" t="s">
        <v>1549</v>
      </c>
    </row>
    <row r="1246" spans="1:6">
      <c r="A1246" s="3" t="s">
        <v>1932</v>
      </c>
      <c r="B1246" s="3" t="s">
        <v>105</v>
      </c>
      <c r="C1246" s="4" t="s">
        <v>1550</v>
      </c>
      <c r="D1246" s="2" t="s">
        <v>1551</v>
      </c>
      <c r="E1246" s="2" t="s">
        <v>1507</v>
      </c>
      <c r="F1246" s="2" t="s">
        <v>1551</v>
      </c>
    </row>
    <row r="1247" spans="1:6">
      <c r="A1247" s="3" t="s">
        <v>1932</v>
      </c>
      <c r="B1247" s="3" t="s">
        <v>105</v>
      </c>
      <c r="C1247" s="4" t="s">
        <v>1552</v>
      </c>
      <c r="D1247" s="2" t="s">
        <v>1553</v>
      </c>
      <c r="E1247" s="2" t="s">
        <v>1507</v>
      </c>
      <c r="F1247" s="2" t="s">
        <v>1553</v>
      </c>
    </row>
    <row r="1248" spans="1:6">
      <c r="A1248" s="3" t="s">
        <v>1932</v>
      </c>
      <c r="B1248" s="3" t="s">
        <v>105</v>
      </c>
      <c r="C1248" s="4" t="s">
        <v>1554</v>
      </c>
      <c r="D1248" s="2" t="s">
        <v>1555</v>
      </c>
      <c r="E1248" s="2" t="s">
        <v>1507</v>
      </c>
      <c r="F1248" s="2" t="s">
        <v>1555</v>
      </c>
    </row>
    <row r="1249" spans="1:6">
      <c r="A1249" s="3" t="s">
        <v>1932</v>
      </c>
      <c r="B1249" s="3" t="s">
        <v>105</v>
      </c>
      <c r="C1249" s="4" t="s">
        <v>1556</v>
      </c>
      <c r="D1249" s="2" t="s">
        <v>1557</v>
      </c>
      <c r="E1249" s="2" t="s">
        <v>1507</v>
      </c>
      <c r="F1249" s="2" t="s">
        <v>1557</v>
      </c>
    </row>
    <row r="1250" spans="1:6">
      <c r="A1250" s="3" t="s">
        <v>1932</v>
      </c>
      <c r="B1250" s="3" t="s">
        <v>105</v>
      </c>
      <c r="C1250" s="4" t="s">
        <v>1558</v>
      </c>
      <c r="D1250" s="2" t="s">
        <v>1559</v>
      </c>
      <c r="E1250" s="2" t="s">
        <v>1507</v>
      </c>
      <c r="F1250" s="2" t="s">
        <v>1559</v>
      </c>
    </row>
    <row r="1251" spans="1:6">
      <c r="A1251" s="3" t="s">
        <v>1932</v>
      </c>
      <c r="B1251" s="3" t="s">
        <v>105</v>
      </c>
      <c r="C1251" s="4" t="s">
        <v>1560</v>
      </c>
      <c r="D1251" s="2" t="s">
        <v>1561</v>
      </c>
      <c r="E1251" s="2" t="s">
        <v>1507</v>
      </c>
      <c r="F1251" s="2" t="s">
        <v>1561</v>
      </c>
    </row>
    <row r="1252" spans="1:6">
      <c r="A1252" s="3" t="s">
        <v>1932</v>
      </c>
      <c r="B1252" s="3" t="s">
        <v>105</v>
      </c>
      <c r="C1252" s="4" t="s">
        <v>1562</v>
      </c>
      <c r="D1252" s="2" t="s">
        <v>1563</v>
      </c>
      <c r="E1252" s="2" t="s">
        <v>1507</v>
      </c>
      <c r="F1252" s="2" t="s">
        <v>1563</v>
      </c>
    </row>
    <row r="1253" spans="1:6">
      <c r="A1253" s="3" t="s">
        <v>1932</v>
      </c>
      <c r="B1253" s="3" t="s">
        <v>105</v>
      </c>
      <c r="C1253" s="4" t="s">
        <v>1564</v>
      </c>
      <c r="D1253" s="2" t="s">
        <v>1565</v>
      </c>
      <c r="E1253" s="2" t="s">
        <v>1507</v>
      </c>
      <c r="F1253" s="2" t="s">
        <v>1565</v>
      </c>
    </row>
    <row r="1254" spans="1:6">
      <c r="A1254" s="3" t="s">
        <v>1932</v>
      </c>
      <c r="B1254" s="3" t="s">
        <v>105</v>
      </c>
      <c r="C1254" s="4" t="s">
        <v>1566</v>
      </c>
      <c r="D1254" s="2" t="s">
        <v>1567</v>
      </c>
      <c r="E1254" s="2" t="s">
        <v>1507</v>
      </c>
      <c r="F1254" s="2" t="s">
        <v>1567</v>
      </c>
    </row>
    <row r="1255" spans="1:6">
      <c r="A1255" s="3" t="s">
        <v>1932</v>
      </c>
      <c r="B1255" s="3" t="s">
        <v>105</v>
      </c>
      <c r="C1255" s="4" t="s">
        <v>1568</v>
      </c>
      <c r="D1255" s="2" t="s">
        <v>1569</v>
      </c>
      <c r="E1255" s="2" t="s">
        <v>1507</v>
      </c>
      <c r="F1255" s="2" t="s">
        <v>1569</v>
      </c>
    </row>
    <row r="1256" spans="1:6">
      <c r="A1256" s="3" t="s">
        <v>1932</v>
      </c>
      <c r="B1256" s="3" t="s">
        <v>105</v>
      </c>
      <c r="C1256" s="4" t="s">
        <v>1570</v>
      </c>
      <c r="D1256" s="2" t="s">
        <v>1571</v>
      </c>
      <c r="E1256" s="2" t="s">
        <v>1507</v>
      </c>
      <c r="F1256" s="2" t="s">
        <v>1571</v>
      </c>
    </row>
    <row r="1257" spans="1:6">
      <c r="A1257" s="3" t="s">
        <v>1932</v>
      </c>
      <c r="B1257" s="3" t="s">
        <v>105</v>
      </c>
      <c r="C1257" s="4" t="s">
        <v>1572</v>
      </c>
      <c r="D1257" s="2" t="s">
        <v>1573</v>
      </c>
      <c r="E1257" s="2" t="s">
        <v>1507</v>
      </c>
      <c r="F1257" s="2" t="s">
        <v>1573</v>
      </c>
    </row>
    <row r="1258" spans="1:6">
      <c r="A1258" s="3" t="s">
        <v>1933</v>
      </c>
      <c r="B1258" s="3" t="s">
        <v>101</v>
      </c>
      <c r="C1258" s="4" t="s">
        <v>116</v>
      </c>
      <c r="D1258" s="2" t="s">
        <v>67</v>
      </c>
      <c r="E1258" s="2" t="s">
        <v>117</v>
      </c>
      <c r="F1258" s="2" t="s">
        <v>118</v>
      </c>
    </row>
    <row r="1259" spans="1:6">
      <c r="A1259" s="3" t="s">
        <v>1933</v>
      </c>
      <c r="B1259" s="3" t="s">
        <v>101</v>
      </c>
      <c r="C1259" s="4" t="s">
        <v>119</v>
      </c>
      <c r="D1259" s="2" t="s">
        <v>69</v>
      </c>
      <c r="E1259" s="2" t="s">
        <v>63</v>
      </c>
      <c r="F1259" s="2" t="s">
        <v>120</v>
      </c>
    </row>
    <row r="1260" spans="1:6">
      <c r="A1260" s="3" t="s">
        <v>1933</v>
      </c>
      <c r="B1260" s="3" t="s">
        <v>101</v>
      </c>
      <c r="C1260" s="4" t="s">
        <v>129</v>
      </c>
      <c r="D1260" s="2" t="s">
        <v>73</v>
      </c>
      <c r="E1260" s="2" t="s">
        <v>130</v>
      </c>
      <c r="F1260" s="2" t="s">
        <v>131</v>
      </c>
    </row>
    <row r="1261" spans="1:6">
      <c r="A1261" s="3" t="s">
        <v>1933</v>
      </c>
      <c r="B1261" s="3" t="s">
        <v>101</v>
      </c>
      <c r="C1261" s="4" t="s">
        <v>132</v>
      </c>
      <c r="D1261" s="2" t="s">
        <v>70</v>
      </c>
      <c r="E1261" s="2" t="s">
        <v>133</v>
      </c>
      <c r="F1261" s="2" t="s">
        <v>134</v>
      </c>
    </row>
    <row r="1262" spans="1:6">
      <c r="A1262" s="3" t="s">
        <v>1933</v>
      </c>
      <c r="B1262" s="3" t="s">
        <v>101</v>
      </c>
      <c r="C1262" s="4" t="s">
        <v>139</v>
      </c>
      <c r="D1262" s="2" t="s">
        <v>139</v>
      </c>
      <c r="E1262" s="2" t="s">
        <v>140</v>
      </c>
      <c r="F1262" s="2" t="s">
        <v>141</v>
      </c>
    </row>
    <row r="1263" spans="1:6">
      <c r="A1263" s="3" t="s">
        <v>1933</v>
      </c>
      <c r="B1263" s="3" t="s">
        <v>101</v>
      </c>
      <c r="C1263" s="4" t="s">
        <v>164</v>
      </c>
      <c r="D1263" s="2" t="s">
        <v>60</v>
      </c>
      <c r="E1263" s="2" t="s">
        <v>165</v>
      </c>
      <c r="F1263" s="2" t="s">
        <v>166</v>
      </c>
    </row>
    <row r="1264" spans="1:6">
      <c r="A1264" s="3" t="s">
        <v>1933</v>
      </c>
      <c r="B1264" s="3" t="s">
        <v>101</v>
      </c>
      <c r="C1264" s="4" t="s">
        <v>167</v>
      </c>
      <c r="D1264" s="2" t="s">
        <v>61</v>
      </c>
      <c r="E1264" s="2" t="s">
        <v>168</v>
      </c>
      <c r="F1264" s="2" t="s">
        <v>169</v>
      </c>
    </row>
    <row r="1265" spans="1:6">
      <c r="A1265" s="3" t="s">
        <v>1933</v>
      </c>
      <c r="B1265" s="3" t="s">
        <v>101</v>
      </c>
      <c r="C1265" s="4" t="s">
        <v>170</v>
      </c>
      <c r="D1265" s="2" t="s">
        <v>68</v>
      </c>
      <c r="E1265" s="2" t="s">
        <v>171</v>
      </c>
      <c r="F1265" s="2" t="s">
        <v>172</v>
      </c>
    </row>
    <row r="1266" spans="1:6">
      <c r="A1266" s="3" t="s">
        <v>1933</v>
      </c>
      <c r="B1266" s="3" t="s">
        <v>101</v>
      </c>
      <c r="C1266" s="4" t="s">
        <v>173</v>
      </c>
      <c r="D1266" s="2" t="s">
        <v>174</v>
      </c>
      <c r="E1266" s="2" t="s">
        <v>175</v>
      </c>
      <c r="F1266" s="2" t="s">
        <v>176</v>
      </c>
    </row>
    <row r="1267" spans="1:6">
      <c r="A1267" s="3" t="s">
        <v>1933</v>
      </c>
      <c r="B1267" s="3" t="s">
        <v>101</v>
      </c>
      <c r="C1267" s="4" t="s">
        <v>181</v>
      </c>
      <c r="D1267" s="2" t="s">
        <v>182</v>
      </c>
      <c r="E1267" s="2" t="s">
        <v>183</v>
      </c>
      <c r="F1267" s="2" t="s">
        <v>184</v>
      </c>
    </row>
    <row r="1268" spans="1:6">
      <c r="A1268" s="3" t="s">
        <v>107</v>
      </c>
      <c r="B1268" s="3" t="s">
        <v>107</v>
      </c>
      <c r="C1268" s="4" t="s">
        <v>119</v>
      </c>
      <c r="D1268" s="2" t="s">
        <v>69</v>
      </c>
      <c r="E1268" s="2" t="s">
        <v>63</v>
      </c>
      <c r="F1268" s="2" t="s">
        <v>120</v>
      </c>
    </row>
    <row r="1269" spans="1:6">
      <c r="A1269" s="3" t="s">
        <v>107</v>
      </c>
      <c r="B1269" s="3" t="s">
        <v>107</v>
      </c>
      <c r="C1269" s="4" t="s">
        <v>1142</v>
      </c>
      <c r="D1269" s="2" t="s">
        <v>1143</v>
      </c>
      <c r="E1269" s="2" t="s">
        <v>1144</v>
      </c>
      <c r="F1269" s="2" t="s">
        <v>1145</v>
      </c>
    </row>
    <row r="1270" spans="1:6">
      <c r="A1270" s="3" t="s">
        <v>107</v>
      </c>
      <c r="B1270" s="3" t="s">
        <v>107</v>
      </c>
      <c r="C1270" s="4" t="s">
        <v>1591</v>
      </c>
      <c r="D1270" s="2" t="s">
        <v>1592</v>
      </c>
      <c r="E1270" s="2" t="s">
        <v>1593</v>
      </c>
      <c r="F1270" s="2" t="s">
        <v>1594</v>
      </c>
    </row>
    <row r="1271" spans="1:6">
      <c r="A1271" s="3" t="s">
        <v>107</v>
      </c>
      <c r="B1271" s="3" t="s">
        <v>107</v>
      </c>
      <c r="C1271" s="4" t="s">
        <v>1595</v>
      </c>
      <c r="D1271" s="2" t="s">
        <v>1596</v>
      </c>
      <c r="E1271" s="2" t="s">
        <v>1597</v>
      </c>
      <c r="F1271" s="2" t="s">
        <v>1598</v>
      </c>
    </row>
    <row r="1272" spans="1:6">
      <c r="A1272" s="3" t="s">
        <v>107</v>
      </c>
      <c r="B1272" s="3" t="s">
        <v>107</v>
      </c>
      <c r="C1272" s="4" t="s">
        <v>1934</v>
      </c>
      <c r="D1272" s="2" t="s">
        <v>1935</v>
      </c>
      <c r="E1272" s="2" t="s">
        <v>1936</v>
      </c>
      <c r="F1272" s="2" t="s">
        <v>1937</v>
      </c>
    </row>
    <row r="1273" spans="1:6">
      <c r="A1273" s="3" t="s">
        <v>107</v>
      </c>
      <c r="B1273" s="3" t="s">
        <v>107</v>
      </c>
      <c r="C1273" s="4" t="s">
        <v>1938</v>
      </c>
      <c r="D1273" s="2" t="s">
        <v>1939</v>
      </c>
      <c r="E1273" s="2" t="s">
        <v>1940</v>
      </c>
      <c r="F1273" s="2" t="s">
        <v>1941</v>
      </c>
    </row>
    <row r="1274" spans="1:6">
      <c r="A1274" s="3" t="s">
        <v>107</v>
      </c>
      <c r="B1274" s="3" t="s">
        <v>107</v>
      </c>
      <c r="C1274" s="4" t="s">
        <v>1942</v>
      </c>
      <c r="D1274" s="2" t="s">
        <v>1943</v>
      </c>
      <c r="E1274" s="2" t="s">
        <v>1944</v>
      </c>
      <c r="F1274" s="2" t="s">
        <v>1945</v>
      </c>
    </row>
    <row r="1275" spans="1:6">
      <c r="A1275" s="3" t="s">
        <v>107</v>
      </c>
      <c r="B1275" s="3" t="s">
        <v>107</v>
      </c>
      <c r="C1275" s="4" t="s">
        <v>1946</v>
      </c>
      <c r="D1275" s="2" t="s">
        <v>1947</v>
      </c>
      <c r="E1275" s="2" t="s">
        <v>1948</v>
      </c>
      <c r="F1275" s="2" t="s">
        <v>1949</v>
      </c>
    </row>
    <row r="1276" spans="1:6">
      <c r="A1276" s="3" t="s">
        <v>107</v>
      </c>
      <c r="B1276" s="3" t="s">
        <v>107</v>
      </c>
      <c r="C1276" s="4" t="s">
        <v>1950</v>
      </c>
      <c r="D1276" s="2" t="s">
        <v>1951</v>
      </c>
      <c r="E1276" s="2" t="s">
        <v>1952</v>
      </c>
      <c r="F1276" s="2" t="s">
        <v>1953</v>
      </c>
    </row>
    <row r="1277" spans="1:6">
      <c r="A1277" s="3" t="s">
        <v>107</v>
      </c>
      <c r="B1277" s="3" t="s">
        <v>107</v>
      </c>
      <c r="C1277" s="4" t="s">
        <v>1954</v>
      </c>
      <c r="D1277" s="2" t="s">
        <v>1955</v>
      </c>
      <c r="E1277" s="2" t="s">
        <v>1956</v>
      </c>
      <c r="F1277" s="2" t="s">
        <v>1957</v>
      </c>
    </row>
    <row r="1278" spans="1:6">
      <c r="A1278" s="3" t="s">
        <v>107</v>
      </c>
      <c r="B1278" s="3" t="s">
        <v>107</v>
      </c>
      <c r="C1278" s="4" t="s">
        <v>173</v>
      </c>
      <c r="D1278" s="2" t="s">
        <v>174</v>
      </c>
      <c r="E1278" s="2" t="s">
        <v>175</v>
      </c>
      <c r="F1278" s="2" t="s">
        <v>176</v>
      </c>
    </row>
    <row r="1279" spans="1:6">
      <c r="A1279" s="3" t="s">
        <v>107</v>
      </c>
      <c r="B1279" s="3" t="s">
        <v>107</v>
      </c>
      <c r="C1279" s="4" t="s">
        <v>235</v>
      </c>
      <c r="D1279" s="2" t="s">
        <v>236</v>
      </c>
      <c r="E1279" s="2" t="s">
        <v>237</v>
      </c>
      <c r="F1279" s="2" t="s">
        <v>238</v>
      </c>
    </row>
    <row r="1280" spans="1:6">
      <c r="A1280" s="3" t="s">
        <v>107</v>
      </c>
      <c r="B1280" s="3" t="s">
        <v>107</v>
      </c>
      <c r="C1280" s="4" t="s">
        <v>1958</v>
      </c>
      <c r="D1280" s="2" t="s">
        <v>1959</v>
      </c>
      <c r="E1280" s="2" t="s">
        <v>1960</v>
      </c>
      <c r="F1280" s="2" t="s">
        <v>1961</v>
      </c>
    </row>
    <row r="1281" spans="1:6">
      <c r="A1281" s="3" t="s">
        <v>107</v>
      </c>
      <c r="B1281" s="3" t="s">
        <v>107</v>
      </c>
      <c r="C1281" s="4" t="s">
        <v>1962</v>
      </c>
      <c r="D1281" s="2" t="s">
        <v>1963</v>
      </c>
      <c r="E1281" s="2" t="s">
        <v>1964</v>
      </c>
      <c r="F1281" s="2" t="s">
        <v>1965</v>
      </c>
    </row>
    <row r="1282" spans="1:6">
      <c r="A1282" s="3" t="s">
        <v>1966</v>
      </c>
      <c r="B1282" s="3" t="s">
        <v>110</v>
      </c>
      <c r="C1282" s="4" t="s">
        <v>1169</v>
      </c>
      <c r="D1282" s="2" t="s">
        <v>1170</v>
      </c>
      <c r="E1282" s="2" t="s">
        <v>1171</v>
      </c>
      <c r="F1282" s="2" t="s">
        <v>1172</v>
      </c>
    </row>
    <row r="1283" spans="1:6">
      <c r="A1283" s="3" t="s">
        <v>1967</v>
      </c>
      <c r="B1283" s="3" t="e">
        <v>#N/A</v>
      </c>
      <c r="C1283" s="4" t="s">
        <v>1968</v>
      </c>
      <c r="D1283" s="2" t="s">
        <v>1969</v>
      </c>
      <c r="E1283" s="2" t="s">
        <v>1970</v>
      </c>
      <c r="F1283" s="2" t="s">
        <v>1971</v>
      </c>
    </row>
    <row r="1284" spans="1:6">
      <c r="A1284" s="3" t="s">
        <v>1972</v>
      </c>
      <c r="B1284" s="3" t="e">
        <v>#N/A</v>
      </c>
      <c r="C1284" s="4" t="s">
        <v>1973</v>
      </c>
      <c r="D1284" s="2" t="s">
        <v>1974</v>
      </c>
      <c r="E1284" s="2" t="s">
        <v>1975</v>
      </c>
      <c r="F1284" s="2" t="s">
        <v>1976</v>
      </c>
    </row>
    <row r="1285" spans="1:6">
      <c r="A1285" s="3" t="s">
        <v>1977</v>
      </c>
      <c r="B1285" s="3" t="e">
        <v>#N/A</v>
      </c>
      <c r="C1285" s="4" t="s">
        <v>1978</v>
      </c>
      <c r="D1285" s="2" t="s">
        <v>1979</v>
      </c>
      <c r="E1285" s="2" t="s">
        <v>1980</v>
      </c>
      <c r="F1285" s="2" t="s">
        <v>1981</v>
      </c>
    </row>
    <row r="1286" spans="1:6">
      <c r="A1286" s="3" t="s">
        <v>1982</v>
      </c>
      <c r="B1286" s="3" t="e">
        <v>#N/A</v>
      </c>
      <c r="C1286" s="4" t="s">
        <v>1983</v>
      </c>
      <c r="D1286" s="2" t="s">
        <v>1984</v>
      </c>
      <c r="E1286" s="2" t="s">
        <v>1985</v>
      </c>
      <c r="F1286" s="2" t="s">
        <v>1986</v>
      </c>
    </row>
    <row r="1287" spans="1:6">
      <c r="A1287" s="3" t="s">
        <v>1987</v>
      </c>
      <c r="B1287" s="3" t="e">
        <v>#N/A</v>
      </c>
      <c r="C1287" s="4" t="s">
        <v>1988</v>
      </c>
      <c r="D1287" s="2" t="s">
        <v>1989</v>
      </c>
      <c r="E1287" s="2" t="s">
        <v>1990</v>
      </c>
      <c r="F1287" s="2" t="s">
        <v>1991</v>
      </c>
    </row>
    <row r="1288" spans="1:6">
      <c r="A1288" s="3" t="s">
        <v>1992</v>
      </c>
      <c r="B1288" s="3" t="e">
        <v>#N/A</v>
      </c>
      <c r="C1288" s="4" t="s">
        <v>1993</v>
      </c>
      <c r="D1288" s="2" t="s">
        <v>1994</v>
      </c>
      <c r="E1288" s="2" t="s">
        <v>1995</v>
      </c>
      <c r="F1288" s="2" t="s">
        <v>1996</v>
      </c>
    </row>
    <row r="1289" spans="1:6">
      <c r="A1289" s="3" t="s">
        <v>1997</v>
      </c>
      <c r="B1289" s="3" t="e">
        <v>#N/A</v>
      </c>
      <c r="C1289" s="4" t="s">
        <v>1998</v>
      </c>
      <c r="D1289" s="2" t="s">
        <v>1999</v>
      </c>
      <c r="E1289" s="2" t="s">
        <v>2000</v>
      </c>
      <c r="F1289" s="2" t="s">
        <v>2001</v>
      </c>
    </row>
    <row r="1290" spans="1:6">
      <c r="A1290" s="3" t="s">
        <v>2002</v>
      </c>
      <c r="B1290" s="3" t="e">
        <v>#N/A</v>
      </c>
      <c r="C1290" s="4" t="s">
        <v>2003</v>
      </c>
      <c r="D1290" s="2" t="s">
        <v>2004</v>
      </c>
      <c r="E1290" s="2" t="s">
        <v>2005</v>
      </c>
      <c r="F1290" s="2" t="s">
        <v>2006</v>
      </c>
    </row>
    <row r="1291" spans="1:6">
      <c r="A1291" s="3" t="s">
        <v>2007</v>
      </c>
      <c r="B1291" s="3" t="e">
        <v>#N/A</v>
      </c>
      <c r="C1291" s="4" t="s">
        <v>2008</v>
      </c>
      <c r="D1291" s="2" t="s">
        <v>2009</v>
      </c>
      <c r="E1291" s="2" t="s">
        <v>2010</v>
      </c>
      <c r="F1291" s="2" t="s">
        <v>2011</v>
      </c>
    </row>
    <row r="1292" spans="1:6">
      <c r="A1292" s="3" t="s">
        <v>2012</v>
      </c>
      <c r="B1292" s="3" t="e">
        <v>#N/A</v>
      </c>
      <c r="C1292" s="4" t="s">
        <v>2013</v>
      </c>
      <c r="D1292" s="2" t="s">
        <v>2014</v>
      </c>
      <c r="E1292" s="2" t="s">
        <v>2015</v>
      </c>
      <c r="F1292" s="2" t="s">
        <v>2016</v>
      </c>
    </row>
    <row r="1293" spans="1:6">
      <c r="A1293" s="3" t="s">
        <v>2017</v>
      </c>
      <c r="B1293" s="3" t="e">
        <v>#N/A</v>
      </c>
      <c r="C1293" s="4" t="s">
        <v>2018</v>
      </c>
      <c r="D1293" s="2" t="s">
        <v>2019</v>
      </c>
      <c r="E1293" s="2" t="s">
        <v>2020</v>
      </c>
      <c r="F1293" s="2" t="s">
        <v>2021</v>
      </c>
    </row>
    <row r="1294" spans="1:6">
      <c r="A1294" s="3" t="s">
        <v>2022</v>
      </c>
      <c r="B1294" s="3" t="e">
        <v>#N/A</v>
      </c>
      <c r="C1294" s="4" t="s">
        <v>2023</v>
      </c>
      <c r="D1294" s="2" t="s">
        <v>2024</v>
      </c>
      <c r="E1294" s="2" t="s">
        <v>2025</v>
      </c>
      <c r="F1294" s="2" t="s">
        <v>2026</v>
      </c>
    </row>
    <row r="1295" spans="1:6">
      <c r="A1295" s="3" t="s">
        <v>2027</v>
      </c>
      <c r="B1295" s="3" t="s">
        <v>111</v>
      </c>
      <c r="C1295" s="4" t="s">
        <v>1968</v>
      </c>
      <c r="D1295" s="2" t="s">
        <v>1969</v>
      </c>
      <c r="E1295" s="2" t="s">
        <v>1970</v>
      </c>
      <c r="F1295" s="2" t="s">
        <v>1971</v>
      </c>
    </row>
    <row r="1296" spans="1:6">
      <c r="A1296" s="3" t="s">
        <v>2027</v>
      </c>
      <c r="B1296" s="3" t="s">
        <v>111</v>
      </c>
      <c r="C1296" s="4" t="s">
        <v>2028</v>
      </c>
      <c r="D1296" s="2" t="s">
        <v>2029</v>
      </c>
      <c r="E1296" s="2" t="s">
        <v>2030</v>
      </c>
      <c r="F1296" s="2" t="s">
        <v>2031</v>
      </c>
    </row>
    <row r="1297" spans="1:6">
      <c r="A1297" s="3" t="s">
        <v>2027</v>
      </c>
      <c r="B1297" s="3" t="s">
        <v>111</v>
      </c>
      <c r="C1297" s="4" t="s">
        <v>2032</v>
      </c>
      <c r="D1297" s="2" t="s">
        <v>2033</v>
      </c>
      <c r="E1297" s="2" t="s">
        <v>2034</v>
      </c>
      <c r="F1297" s="2" t="s">
        <v>2035</v>
      </c>
    </row>
    <row r="1298" spans="1:6">
      <c r="A1298" s="3" t="s">
        <v>112</v>
      </c>
      <c r="B1298" s="3" t="s">
        <v>112</v>
      </c>
      <c r="C1298" s="4" t="s">
        <v>119</v>
      </c>
      <c r="D1298" s="2" t="s">
        <v>69</v>
      </c>
      <c r="E1298" s="2" t="s">
        <v>63</v>
      </c>
      <c r="F1298" s="2" t="s">
        <v>120</v>
      </c>
    </row>
    <row r="1299" spans="1:6">
      <c r="A1299" s="3" t="s">
        <v>112</v>
      </c>
      <c r="B1299" s="3" t="s">
        <v>112</v>
      </c>
      <c r="C1299" s="4" t="s">
        <v>2036</v>
      </c>
      <c r="D1299" s="2" t="s">
        <v>2037</v>
      </c>
      <c r="E1299" s="2" t="s">
        <v>2038</v>
      </c>
      <c r="F1299" s="2" t="s">
        <v>2039</v>
      </c>
    </row>
    <row r="1300" spans="1:6">
      <c r="A1300" s="3" t="s">
        <v>112</v>
      </c>
      <c r="B1300" s="3" t="s">
        <v>112</v>
      </c>
      <c r="C1300" s="4" t="s">
        <v>150</v>
      </c>
      <c r="D1300" s="2" t="s">
        <v>151</v>
      </c>
      <c r="E1300" s="2" t="s">
        <v>152</v>
      </c>
      <c r="F1300" s="2" t="s">
        <v>153</v>
      </c>
    </row>
    <row r="1301" spans="1:6">
      <c r="A1301" s="3" t="s">
        <v>112</v>
      </c>
      <c r="B1301" s="3" t="s">
        <v>112</v>
      </c>
      <c r="C1301" s="4" t="s">
        <v>1142</v>
      </c>
      <c r="D1301" s="2" t="s">
        <v>1143</v>
      </c>
      <c r="E1301" s="2" t="s">
        <v>1144</v>
      </c>
      <c r="F1301" s="2" t="s">
        <v>1145</v>
      </c>
    </row>
    <row r="1302" spans="1:6">
      <c r="A1302" s="3" t="s">
        <v>112</v>
      </c>
      <c r="B1302" s="3" t="s">
        <v>112</v>
      </c>
      <c r="C1302" s="4" t="s">
        <v>164</v>
      </c>
      <c r="D1302" s="2" t="s">
        <v>60</v>
      </c>
      <c r="E1302" s="2" t="s">
        <v>165</v>
      </c>
      <c r="F1302" s="2" t="s">
        <v>166</v>
      </c>
    </row>
    <row r="1303" spans="1:6">
      <c r="A1303" s="3" t="s">
        <v>112</v>
      </c>
      <c r="B1303" s="3" t="s">
        <v>112</v>
      </c>
      <c r="C1303" s="4" t="s">
        <v>167</v>
      </c>
      <c r="D1303" s="2" t="s">
        <v>61</v>
      </c>
      <c r="E1303" s="2" t="s">
        <v>168</v>
      </c>
      <c r="F1303" s="2" t="s">
        <v>169</v>
      </c>
    </row>
    <row r="1304" spans="1:6">
      <c r="A1304" s="3" t="s">
        <v>112</v>
      </c>
      <c r="B1304" s="3" t="s">
        <v>112</v>
      </c>
      <c r="C1304" s="4" t="s">
        <v>170</v>
      </c>
      <c r="D1304" s="2" t="s">
        <v>68</v>
      </c>
      <c r="E1304" s="2" t="s">
        <v>171</v>
      </c>
      <c r="F1304" s="2" t="s">
        <v>172</v>
      </c>
    </row>
    <row r="1305" spans="1:6">
      <c r="A1305" s="3" t="s">
        <v>112</v>
      </c>
      <c r="B1305" s="3" t="s">
        <v>112</v>
      </c>
      <c r="C1305" s="4" t="s">
        <v>173</v>
      </c>
      <c r="D1305" s="2" t="s">
        <v>174</v>
      </c>
      <c r="E1305" s="2" t="s">
        <v>175</v>
      </c>
      <c r="F1305" s="2" t="s">
        <v>176</v>
      </c>
    </row>
    <row r="1306" spans="1:6">
      <c r="A1306" s="3" t="s">
        <v>112</v>
      </c>
      <c r="B1306" s="3" t="s">
        <v>112</v>
      </c>
      <c r="C1306" s="4" t="s">
        <v>235</v>
      </c>
      <c r="D1306" s="2" t="s">
        <v>236</v>
      </c>
      <c r="E1306" s="2" t="s">
        <v>237</v>
      </c>
      <c r="F1306" s="2" t="s">
        <v>238</v>
      </c>
    </row>
    <row r="1307" spans="1:6">
      <c r="A1307" s="3" t="s">
        <v>112</v>
      </c>
      <c r="B1307" s="3" t="s">
        <v>112</v>
      </c>
      <c r="C1307" s="4" t="s">
        <v>2040</v>
      </c>
      <c r="D1307" s="2" t="s">
        <v>2041</v>
      </c>
      <c r="E1307" s="2" t="s">
        <v>2042</v>
      </c>
      <c r="F1307" s="2" t="s">
        <v>2043</v>
      </c>
    </row>
    <row r="1308" spans="1:6">
      <c r="A1308" s="3" t="s">
        <v>112</v>
      </c>
      <c r="B1308" s="3" t="s">
        <v>112</v>
      </c>
      <c r="C1308" s="4" t="s">
        <v>2044</v>
      </c>
      <c r="D1308" s="2" t="s">
        <v>2045</v>
      </c>
      <c r="E1308" s="2" t="s">
        <v>2046</v>
      </c>
      <c r="F1308" s="2" t="s">
        <v>2047</v>
      </c>
    </row>
    <row r="1309" spans="1:6">
      <c r="A1309" s="3" t="s">
        <v>112</v>
      </c>
      <c r="B1309" s="3" t="s">
        <v>112</v>
      </c>
      <c r="C1309" s="4" t="s">
        <v>2048</v>
      </c>
      <c r="D1309" s="2" t="s">
        <v>2049</v>
      </c>
      <c r="E1309" s="2" t="s">
        <v>2050</v>
      </c>
      <c r="F1309" s="2" t="s">
        <v>2051</v>
      </c>
    </row>
    <row r="1310" spans="1:6">
      <c r="A1310" s="3" t="s">
        <v>112</v>
      </c>
      <c r="B1310" s="3" t="s">
        <v>112</v>
      </c>
      <c r="C1310" s="4" t="s">
        <v>1958</v>
      </c>
      <c r="D1310" s="2" t="s">
        <v>1959</v>
      </c>
      <c r="E1310" s="2" t="s">
        <v>1960</v>
      </c>
      <c r="F1310" s="2" t="s">
        <v>1961</v>
      </c>
    </row>
    <row r="1311" spans="1:6">
      <c r="A1311" s="3" t="s">
        <v>112</v>
      </c>
      <c r="B1311" s="3" t="s">
        <v>112</v>
      </c>
      <c r="C1311" s="4" t="s">
        <v>2052</v>
      </c>
      <c r="D1311" s="2" t="s">
        <v>2053</v>
      </c>
      <c r="E1311" s="2" t="s">
        <v>2054</v>
      </c>
      <c r="F1311" s="2" t="s">
        <v>2055</v>
      </c>
    </row>
    <row r="1312" spans="1:6">
      <c r="A1312" s="3" t="s">
        <v>112</v>
      </c>
      <c r="B1312" s="3" t="s">
        <v>112</v>
      </c>
      <c r="C1312" s="4" t="s">
        <v>2056</v>
      </c>
      <c r="D1312" s="2" t="s">
        <v>2057</v>
      </c>
      <c r="E1312" s="2" t="s">
        <v>2058</v>
      </c>
      <c r="F1312" s="2" t="s">
        <v>2059</v>
      </c>
    </row>
    <row r="1313" spans="1:6">
      <c r="A1313" s="3" t="s">
        <v>112</v>
      </c>
      <c r="B1313" s="3" t="s">
        <v>112</v>
      </c>
      <c r="C1313" s="4" t="s">
        <v>2060</v>
      </c>
      <c r="D1313" s="2" t="s">
        <v>2061</v>
      </c>
      <c r="E1313" s="2" t="s">
        <v>2062</v>
      </c>
      <c r="F1313" s="2" t="s">
        <v>2063</v>
      </c>
    </row>
    <row r="1314" spans="1:6">
      <c r="A1314" s="3" t="s">
        <v>112</v>
      </c>
      <c r="B1314" s="3" t="s">
        <v>112</v>
      </c>
      <c r="C1314" s="4" t="s">
        <v>2064</v>
      </c>
      <c r="D1314" s="2" t="s">
        <v>2065</v>
      </c>
      <c r="E1314" s="2" t="s">
        <v>2066</v>
      </c>
      <c r="F1314" s="2" t="s">
        <v>2067</v>
      </c>
    </row>
    <row r="1315" spans="1:6">
      <c r="A1315" s="3" t="s">
        <v>112</v>
      </c>
      <c r="B1315" s="3" t="s">
        <v>112</v>
      </c>
      <c r="C1315" s="4" t="s">
        <v>2068</v>
      </c>
      <c r="D1315" s="2" t="s">
        <v>2069</v>
      </c>
      <c r="E1315" s="2" t="s">
        <v>2070</v>
      </c>
      <c r="F1315" s="2" t="s">
        <v>2071</v>
      </c>
    </row>
    <row r="1316" spans="1:6">
      <c r="A1316" s="3" t="s">
        <v>112</v>
      </c>
      <c r="B1316" s="3" t="s">
        <v>112</v>
      </c>
      <c r="C1316" s="4" t="s">
        <v>2072</v>
      </c>
      <c r="D1316" s="2" t="s">
        <v>2073</v>
      </c>
      <c r="E1316" s="2" t="s">
        <v>2074</v>
      </c>
      <c r="F1316" s="2" t="s">
        <v>2075</v>
      </c>
    </row>
    <row r="1317" spans="1:6">
      <c r="A1317" s="3" t="s">
        <v>112</v>
      </c>
      <c r="B1317" s="3" t="s">
        <v>112</v>
      </c>
      <c r="C1317" s="4" t="s">
        <v>2076</v>
      </c>
      <c r="D1317" s="2" t="s">
        <v>2077</v>
      </c>
      <c r="E1317" s="2" t="s">
        <v>2078</v>
      </c>
      <c r="F1317" s="2" t="s">
        <v>2079</v>
      </c>
    </row>
    <row r="1318" spans="1:6">
      <c r="A1318" s="3" t="s">
        <v>112</v>
      </c>
      <c r="B1318" s="3" t="s">
        <v>112</v>
      </c>
      <c r="C1318" s="4" t="s">
        <v>2080</v>
      </c>
      <c r="D1318" s="2" t="s">
        <v>2081</v>
      </c>
      <c r="E1318" s="2" t="s">
        <v>2082</v>
      </c>
      <c r="F1318" s="2" t="s">
        <v>2083</v>
      </c>
    </row>
    <row r="1319" spans="1:6">
      <c r="A1319" s="3" t="s">
        <v>112</v>
      </c>
      <c r="B1319" s="3" t="s">
        <v>112</v>
      </c>
      <c r="C1319" s="4" t="s">
        <v>2084</v>
      </c>
      <c r="D1319" s="2" t="s">
        <v>2085</v>
      </c>
      <c r="E1319" s="2" t="s">
        <v>2086</v>
      </c>
      <c r="F1319" s="2" t="s">
        <v>2087</v>
      </c>
    </row>
    <row r="1320" spans="1:6">
      <c r="A1320" s="3" t="s">
        <v>112</v>
      </c>
      <c r="B1320" s="3" t="s">
        <v>112</v>
      </c>
      <c r="C1320" s="4" t="s">
        <v>2088</v>
      </c>
      <c r="D1320" s="2" t="s">
        <v>2089</v>
      </c>
      <c r="E1320" s="2" t="s">
        <v>2090</v>
      </c>
      <c r="F1320" s="2" t="s">
        <v>2091</v>
      </c>
    </row>
    <row r="1321" spans="1:6">
      <c r="A1321" s="3" t="s">
        <v>112</v>
      </c>
      <c r="B1321" s="3" t="s">
        <v>112</v>
      </c>
      <c r="C1321" s="4" t="s">
        <v>2092</v>
      </c>
      <c r="D1321" s="2" t="s">
        <v>2093</v>
      </c>
      <c r="E1321" s="2" t="s">
        <v>2094</v>
      </c>
      <c r="F1321" s="2" t="s">
        <v>2095</v>
      </c>
    </row>
    <row r="1322" spans="1:6">
      <c r="A1322" s="3" t="s">
        <v>112</v>
      </c>
      <c r="B1322" s="3" t="s">
        <v>112</v>
      </c>
      <c r="C1322" s="4" t="s">
        <v>2096</v>
      </c>
      <c r="D1322" s="2" t="s">
        <v>2097</v>
      </c>
      <c r="E1322" s="2" t="s">
        <v>2098</v>
      </c>
      <c r="F1322" s="2" t="s">
        <v>2099</v>
      </c>
    </row>
    <row r="1323" spans="1:6">
      <c r="A1323" s="3" t="s">
        <v>112</v>
      </c>
      <c r="B1323" s="3" t="s">
        <v>112</v>
      </c>
      <c r="C1323" s="4" t="s">
        <v>2100</v>
      </c>
      <c r="D1323" s="2" t="s">
        <v>2101</v>
      </c>
      <c r="E1323" s="2" t="s">
        <v>2102</v>
      </c>
      <c r="F1323" s="2" t="s">
        <v>2103</v>
      </c>
    </row>
    <row r="1324" spans="1:6">
      <c r="A1324" s="3" t="s">
        <v>112</v>
      </c>
      <c r="B1324" s="3" t="s">
        <v>112</v>
      </c>
      <c r="C1324" s="4" t="s">
        <v>2104</v>
      </c>
      <c r="D1324" s="2" t="s">
        <v>2105</v>
      </c>
      <c r="E1324" s="2" t="s">
        <v>2106</v>
      </c>
      <c r="F1324" s="2" t="s">
        <v>2107</v>
      </c>
    </row>
    <row r="1325" spans="1:6">
      <c r="A1325" s="3" t="s">
        <v>112</v>
      </c>
      <c r="B1325" s="3" t="s">
        <v>112</v>
      </c>
      <c r="C1325" s="4" t="s">
        <v>2108</v>
      </c>
      <c r="D1325" s="2" t="s">
        <v>2109</v>
      </c>
      <c r="E1325" s="2" t="s">
        <v>2110</v>
      </c>
      <c r="F1325" s="2" t="s">
        <v>2111</v>
      </c>
    </row>
    <row r="1326" spans="1:6">
      <c r="A1326" s="3" t="s">
        <v>112</v>
      </c>
      <c r="B1326" s="3" t="s">
        <v>112</v>
      </c>
      <c r="C1326" s="4" t="s">
        <v>2112</v>
      </c>
      <c r="D1326" s="2" t="s">
        <v>2113</v>
      </c>
      <c r="E1326" s="2" t="s">
        <v>2114</v>
      </c>
      <c r="F1326" s="2" t="s">
        <v>2115</v>
      </c>
    </row>
    <row r="1327" spans="1:6">
      <c r="A1327" s="3" t="s">
        <v>112</v>
      </c>
      <c r="B1327" s="3" t="s">
        <v>112</v>
      </c>
      <c r="C1327" s="4" t="s">
        <v>2116</v>
      </c>
      <c r="D1327" s="2" t="s">
        <v>2117</v>
      </c>
      <c r="E1327" s="2" t="s">
        <v>2118</v>
      </c>
      <c r="F1327" s="2" t="s">
        <v>2119</v>
      </c>
    </row>
    <row r="1328" spans="1:6">
      <c r="A1328" s="3" t="s">
        <v>2120</v>
      </c>
      <c r="B1328" s="3" t="s">
        <v>84</v>
      </c>
      <c r="C1328" s="4" t="s">
        <v>129</v>
      </c>
      <c r="D1328" s="2" t="s">
        <v>73</v>
      </c>
      <c r="E1328" s="2" t="s">
        <v>130</v>
      </c>
      <c r="F1328" s="2" t="s">
        <v>131</v>
      </c>
    </row>
    <row r="1329" spans="1:6">
      <c r="A1329" s="3" t="s">
        <v>2120</v>
      </c>
      <c r="B1329" s="3" t="s">
        <v>84</v>
      </c>
      <c r="C1329" s="4" t="s">
        <v>132</v>
      </c>
      <c r="D1329" s="2" t="s">
        <v>70</v>
      </c>
      <c r="E1329" s="2" t="s">
        <v>133</v>
      </c>
      <c r="F1329" s="2" t="s">
        <v>134</v>
      </c>
    </row>
    <row r="1330" spans="1:6">
      <c r="A1330" s="3" t="s">
        <v>2120</v>
      </c>
      <c r="B1330" s="3" t="s">
        <v>84</v>
      </c>
      <c r="C1330" s="4" t="s">
        <v>135</v>
      </c>
      <c r="D1330" s="2" t="s">
        <v>136</v>
      </c>
      <c r="E1330" s="2" t="s">
        <v>137</v>
      </c>
      <c r="F1330" s="2" t="s">
        <v>138</v>
      </c>
    </row>
    <row r="1331" spans="1:6">
      <c r="A1331" s="3" t="s">
        <v>2120</v>
      </c>
      <c r="B1331" s="3" t="s">
        <v>84</v>
      </c>
      <c r="C1331" s="4" t="s">
        <v>907</v>
      </c>
      <c r="D1331" s="2" t="s">
        <v>908</v>
      </c>
      <c r="E1331" s="2" t="s">
        <v>909</v>
      </c>
      <c r="F1331" s="2" t="s">
        <v>910</v>
      </c>
    </row>
    <row r="1332" spans="1:6">
      <c r="A1332" s="3" t="s">
        <v>2120</v>
      </c>
      <c r="B1332" s="3" t="s">
        <v>84</v>
      </c>
      <c r="C1332" s="4" t="s">
        <v>911</v>
      </c>
      <c r="D1332" s="2" t="s">
        <v>912</v>
      </c>
      <c r="E1332" s="2" t="s">
        <v>913</v>
      </c>
      <c r="F1332" s="2" t="s">
        <v>914</v>
      </c>
    </row>
    <row r="1333" spans="1:6">
      <c r="A1333" s="3" t="s">
        <v>2120</v>
      </c>
      <c r="B1333" s="3" t="s">
        <v>84</v>
      </c>
      <c r="C1333" s="4" t="s">
        <v>1138</v>
      </c>
      <c r="D1333" s="2" t="s">
        <v>1139</v>
      </c>
      <c r="E1333" s="2" t="s">
        <v>1140</v>
      </c>
      <c r="F1333" s="2" t="s">
        <v>1141</v>
      </c>
    </row>
    <row r="1334" spans="1:6">
      <c r="A1334" s="3" t="s">
        <v>2120</v>
      </c>
      <c r="B1334" s="3" t="s">
        <v>84</v>
      </c>
      <c r="C1334" s="4" t="s">
        <v>1649</v>
      </c>
      <c r="D1334" s="2" t="s">
        <v>1650</v>
      </c>
      <c r="E1334" s="2" t="s">
        <v>1651</v>
      </c>
      <c r="F1334" s="2" t="s">
        <v>1650</v>
      </c>
    </row>
    <row r="1335" spans="1:6">
      <c r="A1335" s="3" t="s">
        <v>2120</v>
      </c>
      <c r="B1335" s="3" t="s">
        <v>84</v>
      </c>
      <c r="C1335" s="4" t="s">
        <v>1652</v>
      </c>
      <c r="D1335" s="2" t="s">
        <v>1653</v>
      </c>
      <c r="E1335" s="2" t="s">
        <v>1654</v>
      </c>
      <c r="F1335" s="2" t="s">
        <v>1655</v>
      </c>
    </row>
    <row r="1336" spans="1:6">
      <c r="A1336" s="3" t="s">
        <v>2120</v>
      </c>
      <c r="B1336" s="3" t="s">
        <v>84</v>
      </c>
      <c r="C1336" s="4" t="s">
        <v>1656</v>
      </c>
      <c r="D1336" s="2" t="s">
        <v>1657</v>
      </c>
      <c r="E1336" s="2" t="s">
        <v>1658</v>
      </c>
      <c r="F1336" s="2" t="s">
        <v>1659</v>
      </c>
    </row>
    <row r="1337" spans="1:6">
      <c r="A1337" s="3" t="s">
        <v>2120</v>
      </c>
      <c r="B1337" s="3" t="s">
        <v>84</v>
      </c>
      <c r="C1337" s="4" t="s">
        <v>1501</v>
      </c>
      <c r="D1337" s="2" t="s">
        <v>1502</v>
      </c>
      <c r="E1337" s="2" t="s">
        <v>1503</v>
      </c>
      <c r="F1337" s="2" t="s">
        <v>1504</v>
      </c>
    </row>
    <row r="1338" spans="1:6">
      <c r="A1338" s="3" t="s">
        <v>2120</v>
      </c>
      <c r="B1338" s="3" t="s">
        <v>84</v>
      </c>
      <c r="C1338" s="4" t="s">
        <v>1177</v>
      </c>
      <c r="D1338" s="2" t="s">
        <v>1178</v>
      </c>
      <c r="E1338" s="2" t="s">
        <v>1179</v>
      </c>
      <c r="F1338" s="2" t="s">
        <v>1180</v>
      </c>
    </row>
    <row r="1339" spans="1:6">
      <c r="A1339" s="3" t="s">
        <v>2120</v>
      </c>
      <c r="B1339" s="3" t="s">
        <v>84</v>
      </c>
      <c r="C1339" s="4" t="s">
        <v>1181</v>
      </c>
      <c r="D1339" s="2" t="s">
        <v>1182</v>
      </c>
      <c r="E1339" s="2" t="s">
        <v>1183</v>
      </c>
      <c r="F1339" s="2" t="s">
        <v>1184</v>
      </c>
    </row>
    <row r="1340" spans="1:6">
      <c r="A1340" s="3" t="s">
        <v>2120</v>
      </c>
      <c r="B1340" s="3" t="s">
        <v>84</v>
      </c>
      <c r="C1340" s="4" t="s">
        <v>1185</v>
      </c>
      <c r="D1340" s="2" t="s">
        <v>1186</v>
      </c>
      <c r="E1340" s="2" t="s">
        <v>1187</v>
      </c>
      <c r="F1340" s="2" t="s">
        <v>1188</v>
      </c>
    </row>
    <row r="1341" spans="1:6">
      <c r="A1341" s="3" t="s">
        <v>2120</v>
      </c>
      <c r="B1341" s="3" t="s">
        <v>84</v>
      </c>
      <c r="C1341" s="4" t="s">
        <v>2121</v>
      </c>
      <c r="D1341" s="2" t="s">
        <v>2122</v>
      </c>
      <c r="E1341" s="2" t="s">
        <v>2123</v>
      </c>
      <c r="F1341" s="2" t="s">
        <v>2124</v>
      </c>
    </row>
    <row r="1342" spans="1:6">
      <c r="A1342" s="3" t="s">
        <v>2120</v>
      </c>
      <c r="B1342" s="3" t="s">
        <v>84</v>
      </c>
      <c r="C1342" s="4" t="s">
        <v>2125</v>
      </c>
      <c r="D1342" s="2" t="s">
        <v>2126</v>
      </c>
      <c r="E1342" s="2" t="s">
        <v>2127</v>
      </c>
      <c r="F1342" s="2" t="s">
        <v>2128</v>
      </c>
    </row>
    <row r="1343" spans="1:6">
      <c r="A1343" s="3" t="s">
        <v>2120</v>
      </c>
      <c r="B1343" s="3" t="s">
        <v>84</v>
      </c>
      <c r="C1343" s="4" t="s">
        <v>2129</v>
      </c>
      <c r="D1343" s="2" t="s">
        <v>2130</v>
      </c>
      <c r="E1343" s="2" t="s">
        <v>2131</v>
      </c>
      <c r="F1343" s="2" t="s">
        <v>2132</v>
      </c>
    </row>
    <row r="1344" spans="1:6">
      <c r="A1344" s="3" t="s">
        <v>2120</v>
      </c>
      <c r="B1344" s="3" t="s">
        <v>84</v>
      </c>
      <c r="C1344" s="4" t="s">
        <v>2133</v>
      </c>
      <c r="D1344" s="2" t="s">
        <v>2134</v>
      </c>
      <c r="E1344" s="2" t="s">
        <v>2135</v>
      </c>
      <c r="F1344" s="2" t="s">
        <v>2134</v>
      </c>
    </row>
    <row r="1345" spans="1:6">
      <c r="A1345" s="3" t="s">
        <v>2120</v>
      </c>
      <c r="B1345" s="3" t="s">
        <v>84</v>
      </c>
      <c r="C1345" s="4" t="s">
        <v>2136</v>
      </c>
      <c r="D1345" s="2" t="s">
        <v>2137</v>
      </c>
      <c r="E1345" s="2" t="s">
        <v>2138</v>
      </c>
      <c r="F1345" s="2" t="s">
        <v>2137</v>
      </c>
    </row>
    <row r="1346" spans="1:6">
      <c r="A1346" s="3" t="s">
        <v>2139</v>
      </c>
      <c r="B1346" s="3" t="s">
        <v>83</v>
      </c>
      <c r="C1346" s="4" t="s">
        <v>135</v>
      </c>
      <c r="D1346" s="2" t="s">
        <v>136</v>
      </c>
      <c r="E1346" s="2" t="s">
        <v>137</v>
      </c>
      <c r="F1346" s="2" t="s">
        <v>138</v>
      </c>
    </row>
    <row r="1347" spans="1:6">
      <c r="A1347" s="3" t="s">
        <v>2139</v>
      </c>
      <c r="B1347" s="3" t="s">
        <v>83</v>
      </c>
      <c r="C1347" s="4" t="s">
        <v>681</v>
      </c>
      <c r="D1347" s="2" t="s">
        <v>682</v>
      </c>
      <c r="E1347" s="2" t="s">
        <v>683</v>
      </c>
      <c r="F1347" s="2" t="s">
        <v>684</v>
      </c>
    </row>
    <row r="1348" spans="1:6">
      <c r="A1348" s="3" t="s">
        <v>2139</v>
      </c>
      <c r="B1348" s="3" t="s">
        <v>83</v>
      </c>
      <c r="C1348" s="4" t="s">
        <v>1138</v>
      </c>
      <c r="D1348" s="2" t="s">
        <v>1139</v>
      </c>
      <c r="E1348" s="2" t="s">
        <v>1140</v>
      </c>
      <c r="F1348" s="2" t="s">
        <v>1141</v>
      </c>
    </row>
    <row r="1349" spans="1:6">
      <c r="A1349" s="3" t="s">
        <v>2139</v>
      </c>
      <c r="B1349" s="3" t="s">
        <v>83</v>
      </c>
      <c r="C1349" s="4" t="s">
        <v>2140</v>
      </c>
      <c r="D1349" s="2" t="s">
        <v>2141</v>
      </c>
      <c r="E1349" s="2" t="s">
        <v>2142</v>
      </c>
      <c r="F1349" s="2" t="s">
        <v>2143</v>
      </c>
    </row>
    <row r="1350" spans="1:6">
      <c r="A1350" s="3" t="s">
        <v>2139</v>
      </c>
      <c r="B1350" s="3" t="s">
        <v>83</v>
      </c>
      <c r="C1350" s="4" t="s">
        <v>2144</v>
      </c>
      <c r="D1350" s="2" t="s">
        <v>2145</v>
      </c>
      <c r="E1350" s="2" t="s">
        <v>2146</v>
      </c>
      <c r="F1350" s="2" t="s">
        <v>2147</v>
      </c>
    </row>
    <row r="1351" spans="1:6">
      <c r="A1351" s="3" t="s">
        <v>2139</v>
      </c>
      <c r="B1351" s="3" t="s">
        <v>83</v>
      </c>
      <c r="C1351" s="4" t="s">
        <v>1863</v>
      </c>
      <c r="D1351" s="2" t="s">
        <v>1864</v>
      </c>
      <c r="E1351" s="2" t="s">
        <v>1865</v>
      </c>
      <c r="F1351" s="2" t="s">
        <v>1864</v>
      </c>
    </row>
    <row r="1352" spans="1:6">
      <c r="A1352" s="3" t="s">
        <v>2148</v>
      </c>
      <c r="B1352" s="3" t="s">
        <v>85</v>
      </c>
      <c r="C1352" s="4" t="s">
        <v>129</v>
      </c>
      <c r="D1352" s="2" t="s">
        <v>73</v>
      </c>
      <c r="E1352" s="2" t="s">
        <v>130</v>
      </c>
      <c r="F1352" s="2" t="s">
        <v>131</v>
      </c>
    </row>
    <row r="1353" spans="1:6">
      <c r="A1353" s="3" t="s">
        <v>2148</v>
      </c>
      <c r="B1353" s="3" t="s">
        <v>85</v>
      </c>
      <c r="C1353" s="4" t="s">
        <v>132</v>
      </c>
      <c r="D1353" s="2" t="s">
        <v>70</v>
      </c>
      <c r="E1353" s="2" t="s">
        <v>133</v>
      </c>
      <c r="F1353" s="2" t="s">
        <v>134</v>
      </c>
    </row>
    <row r="1354" spans="1:6">
      <c r="A1354" s="3" t="s">
        <v>2148</v>
      </c>
      <c r="B1354" s="3" t="s">
        <v>85</v>
      </c>
      <c r="C1354" s="4" t="s">
        <v>135</v>
      </c>
      <c r="D1354" s="2" t="s">
        <v>136</v>
      </c>
      <c r="E1354" s="2" t="s">
        <v>137</v>
      </c>
      <c r="F1354" s="2" t="s">
        <v>138</v>
      </c>
    </row>
    <row r="1355" spans="1:6">
      <c r="A1355" s="3" t="s">
        <v>2148</v>
      </c>
      <c r="B1355" s="3" t="s">
        <v>85</v>
      </c>
      <c r="C1355" s="4" t="s">
        <v>907</v>
      </c>
      <c r="D1355" s="2" t="s">
        <v>908</v>
      </c>
      <c r="E1355" s="2" t="s">
        <v>909</v>
      </c>
      <c r="F1355" s="2" t="s">
        <v>910</v>
      </c>
    </row>
    <row r="1356" spans="1:6">
      <c r="A1356" s="3" t="s">
        <v>2148</v>
      </c>
      <c r="B1356" s="3" t="s">
        <v>85</v>
      </c>
      <c r="C1356" s="4" t="s">
        <v>911</v>
      </c>
      <c r="D1356" s="2" t="s">
        <v>912</v>
      </c>
      <c r="E1356" s="2" t="s">
        <v>913</v>
      </c>
      <c r="F1356" s="2" t="s">
        <v>914</v>
      </c>
    </row>
    <row r="1357" spans="1:6">
      <c r="A1357" s="3" t="s">
        <v>2148</v>
      </c>
      <c r="B1357" s="3" t="s">
        <v>85</v>
      </c>
      <c r="C1357" s="4" t="s">
        <v>1056</v>
      </c>
      <c r="D1357" s="2" t="s">
        <v>1057</v>
      </c>
      <c r="E1357" s="2" t="s">
        <v>1058</v>
      </c>
      <c r="F1357" s="2" t="s">
        <v>1057</v>
      </c>
    </row>
    <row r="1358" spans="1:6">
      <c r="A1358" s="3" t="s">
        <v>2148</v>
      </c>
      <c r="B1358" s="3" t="s">
        <v>85</v>
      </c>
      <c r="C1358" s="4" t="s">
        <v>1134</v>
      </c>
      <c r="D1358" s="2" t="s">
        <v>1135</v>
      </c>
      <c r="E1358" s="2" t="s">
        <v>1136</v>
      </c>
      <c r="F1358" s="2" t="s">
        <v>1137</v>
      </c>
    </row>
    <row r="1359" spans="1:6">
      <c r="A1359" s="3" t="s">
        <v>2148</v>
      </c>
      <c r="B1359" s="3" t="s">
        <v>85</v>
      </c>
      <c r="C1359" s="4" t="s">
        <v>1059</v>
      </c>
      <c r="D1359" s="2" t="s">
        <v>1060</v>
      </c>
      <c r="E1359" s="2" t="s">
        <v>1061</v>
      </c>
      <c r="F1359" s="2" t="s">
        <v>1062</v>
      </c>
    </row>
    <row r="1360" spans="1:6">
      <c r="A1360" s="3" t="s">
        <v>2148</v>
      </c>
      <c r="B1360" s="3" t="s">
        <v>85</v>
      </c>
      <c r="C1360" s="4" t="s">
        <v>1146</v>
      </c>
      <c r="D1360" s="2" t="s">
        <v>1147</v>
      </c>
      <c r="E1360" s="2" t="s">
        <v>1148</v>
      </c>
      <c r="F1360" s="2" t="s">
        <v>1149</v>
      </c>
    </row>
    <row r="1361" spans="1:6">
      <c r="A1361" s="3" t="s">
        <v>2148</v>
      </c>
      <c r="B1361" s="3" t="s">
        <v>85</v>
      </c>
      <c r="C1361" s="4" t="s">
        <v>164</v>
      </c>
      <c r="D1361" s="2" t="s">
        <v>60</v>
      </c>
      <c r="E1361" s="2" t="s">
        <v>165</v>
      </c>
      <c r="F1361" s="2" t="s">
        <v>166</v>
      </c>
    </row>
    <row r="1362" spans="1:6">
      <c r="A1362" s="3" t="s">
        <v>2148</v>
      </c>
      <c r="B1362" s="3" t="s">
        <v>85</v>
      </c>
      <c r="C1362" s="4" t="s">
        <v>167</v>
      </c>
      <c r="D1362" s="2" t="s">
        <v>61</v>
      </c>
      <c r="E1362" s="2" t="s">
        <v>168</v>
      </c>
      <c r="F1362" s="2" t="s">
        <v>169</v>
      </c>
    </row>
    <row r="1363" spans="1:6">
      <c r="A1363" s="3" t="s">
        <v>2148</v>
      </c>
      <c r="B1363" s="3" t="s">
        <v>85</v>
      </c>
      <c r="C1363" s="4" t="s">
        <v>170</v>
      </c>
      <c r="D1363" s="2" t="s">
        <v>68</v>
      </c>
      <c r="E1363" s="2" t="s">
        <v>171</v>
      </c>
      <c r="F1363" s="2" t="s">
        <v>172</v>
      </c>
    </row>
    <row r="1364" spans="1:6">
      <c r="A1364" s="3" t="s">
        <v>2148</v>
      </c>
      <c r="B1364" s="3" t="s">
        <v>85</v>
      </c>
      <c r="C1364" s="4" t="s">
        <v>1501</v>
      </c>
      <c r="D1364" s="2" t="s">
        <v>1502</v>
      </c>
      <c r="E1364" s="2" t="s">
        <v>1503</v>
      </c>
      <c r="F1364" s="2" t="s">
        <v>1504</v>
      </c>
    </row>
    <row r="1365" spans="1:6">
      <c r="A1365" s="3" t="s">
        <v>2148</v>
      </c>
      <c r="B1365" s="3" t="s">
        <v>85</v>
      </c>
      <c r="C1365" s="4" t="s">
        <v>2121</v>
      </c>
      <c r="D1365" s="2" t="s">
        <v>2122</v>
      </c>
      <c r="E1365" s="2" t="s">
        <v>2123</v>
      </c>
      <c r="F1365" s="2" t="s">
        <v>2124</v>
      </c>
    </row>
    <row r="1366" spans="1:6">
      <c r="A1366" s="3" t="s">
        <v>2148</v>
      </c>
      <c r="B1366" s="3" t="s">
        <v>85</v>
      </c>
      <c r="C1366" s="4" t="s">
        <v>2125</v>
      </c>
      <c r="D1366" s="2" t="s">
        <v>2126</v>
      </c>
      <c r="E1366" s="2" t="s">
        <v>2127</v>
      </c>
      <c r="F1366" s="2" t="s">
        <v>2128</v>
      </c>
    </row>
    <row r="1367" spans="1:6">
      <c r="A1367" s="3" t="s">
        <v>2148</v>
      </c>
      <c r="B1367" s="3" t="s">
        <v>85</v>
      </c>
      <c r="C1367" s="4" t="s">
        <v>2149</v>
      </c>
      <c r="D1367" s="2" t="s">
        <v>2150</v>
      </c>
      <c r="E1367" s="2" t="s">
        <v>2151</v>
      </c>
      <c r="F1367" s="2" t="s">
        <v>2152</v>
      </c>
    </row>
    <row r="1368" spans="1:6">
      <c r="A1368" s="3" t="s">
        <v>2148</v>
      </c>
      <c r="B1368" s="3" t="s">
        <v>85</v>
      </c>
      <c r="C1368" s="4" t="s">
        <v>2153</v>
      </c>
      <c r="D1368" s="2" t="s">
        <v>2154</v>
      </c>
      <c r="E1368" s="2" t="s">
        <v>2155</v>
      </c>
      <c r="F1368" s="2" t="s">
        <v>2156</v>
      </c>
    </row>
    <row r="1369" spans="1:6">
      <c r="A1369" s="3" t="s">
        <v>2148</v>
      </c>
      <c r="B1369" s="3" t="s">
        <v>85</v>
      </c>
      <c r="C1369" s="4" t="s">
        <v>2157</v>
      </c>
      <c r="D1369" s="2" t="s">
        <v>2158</v>
      </c>
      <c r="E1369" s="2" t="s">
        <v>2159</v>
      </c>
      <c r="F1369" s="2" t="s">
        <v>2160</v>
      </c>
    </row>
    <row r="1370" spans="1:6">
      <c r="A1370" s="3" t="s">
        <v>2148</v>
      </c>
      <c r="B1370" s="3" t="s">
        <v>85</v>
      </c>
      <c r="C1370" s="4" t="s">
        <v>2161</v>
      </c>
      <c r="D1370" s="2" t="s">
        <v>2162</v>
      </c>
      <c r="E1370" s="2" t="s">
        <v>2163</v>
      </c>
      <c r="F1370" s="2" t="s">
        <v>2164</v>
      </c>
    </row>
    <row r="1371" spans="1:6">
      <c r="A1371" s="3" t="s">
        <v>2148</v>
      </c>
      <c r="B1371" s="3" t="s">
        <v>85</v>
      </c>
      <c r="C1371" s="4" t="s">
        <v>2165</v>
      </c>
      <c r="D1371" s="2" t="s">
        <v>2166</v>
      </c>
      <c r="E1371" s="2" t="s">
        <v>2167</v>
      </c>
      <c r="F1371" s="2" t="s">
        <v>2168</v>
      </c>
    </row>
    <row r="1372" spans="1:6">
      <c r="A1372" s="3" t="s">
        <v>100</v>
      </c>
      <c r="B1372" s="3" t="s">
        <v>100</v>
      </c>
      <c r="C1372" s="4" t="s">
        <v>116</v>
      </c>
      <c r="D1372" s="2" t="s">
        <v>67</v>
      </c>
      <c r="E1372" s="2" t="s">
        <v>117</v>
      </c>
      <c r="F1372" s="2" t="s">
        <v>118</v>
      </c>
    </row>
    <row r="1373" spans="1:6">
      <c r="A1373" s="3" t="s">
        <v>100</v>
      </c>
      <c r="B1373" s="3" t="s">
        <v>100</v>
      </c>
      <c r="C1373" s="4" t="s">
        <v>119</v>
      </c>
      <c r="D1373" s="2" t="s">
        <v>69</v>
      </c>
      <c r="E1373" s="2" t="s">
        <v>63</v>
      </c>
      <c r="F1373" s="2" t="s">
        <v>120</v>
      </c>
    </row>
    <row r="1374" spans="1:6">
      <c r="A1374" s="3" t="s">
        <v>100</v>
      </c>
      <c r="B1374" s="3" t="s">
        <v>100</v>
      </c>
      <c r="C1374" s="4" t="s">
        <v>121</v>
      </c>
      <c r="D1374" s="2" t="s">
        <v>122</v>
      </c>
      <c r="E1374" s="2" t="s">
        <v>123</v>
      </c>
      <c r="F1374" s="2" t="s">
        <v>124</v>
      </c>
    </row>
    <row r="1375" spans="1:6">
      <c r="A1375" s="3" t="s">
        <v>100</v>
      </c>
      <c r="B1375" s="3" t="s">
        <v>100</v>
      </c>
      <c r="C1375" s="4" t="s">
        <v>125</v>
      </c>
      <c r="D1375" s="2" t="s">
        <v>126</v>
      </c>
      <c r="E1375" s="2" t="s">
        <v>127</v>
      </c>
      <c r="F1375" s="2" t="s">
        <v>128</v>
      </c>
    </row>
    <row r="1376" spans="1:6">
      <c r="A1376" s="3" t="s">
        <v>100</v>
      </c>
      <c r="B1376" s="3" t="s">
        <v>100</v>
      </c>
      <c r="C1376" s="4" t="s">
        <v>657</v>
      </c>
      <c r="D1376" s="2" t="s">
        <v>658</v>
      </c>
      <c r="E1376" s="2" t="s">
        <v>659</v>
      </c>
      <c r="F1376" s="2" t="s">
        <v>660</v>
      </c>
    </row>
    <row r="1377" spans="1:6">
      <c r="A1377" s="3" t="s">
        <v>100</v>
      </c>
      <c r="B1377" s="3" t="s">
        <v>100</v>
      </c>
      <c r="C1377" s="4" t="s">
        <v>129</v>
      </c>
      <c r="D1377" s="2" t="s">
        <v>73</v>
      </c>
      <c r="E1377" s="2" t="s">
        <v>130</v>
      </c>
      <c r="F1377" s="2" t="s">
        <v>131</v>
      </c>
    </row>
    <row r="1378" spans="1:6">
      <c r="A1378" s="3" t="s">
        <v>100</v>
      </c>
      <c r="B1378" s="3" t="s">
        <v>100</v>
      </c>
      <c r="C1378" s="4" t="s">
        <v>132</v>
      </c>
      <c r="D1378" s="2" t="s">
        <v>70</v>
      </c>
      <c r="E1378" s="2" t="s">
        <v>133</v>
      </c>
      <c r="F1378" s="2" t="s">
        <v>134</v>
      </c>
    </row>
    <row r="1379" spans="1:6">
      <c r="A1379" s="3" t="s">
        <v>100</v>
      </c>
      <c r="B1379" s="3" t="s">
        <v>100</v>
      </c>
      <c r="C1379" s="4" t="s">
        <v>135</v>
      </c>
      <c r="D1379" s="2" t="s">
        <v>136</v>
      </c>
      <c r="E1379" s="2" t="s">
        <v>137</v>
      </c>
      <c r="F1379" s="2" t="s">
        <v>138</v>
      </c>
    </row>
    <row r="1380" spans="1:6">
      <c r="A1380" s="3" t="s">
        <v>100</v>
      </c>
      <c r="B1380" s="3" t="s">
        <v>100</v>
      </c>
      <c r="C1380" s="4" t="s">
        <v>139</v>
      </c>
      <c r="D1380" s="2" t="s">
        <v>139</v>
      </c>
      <c r="E1380" s="2" t="s">
        <v>140</v>
      </c>
      <c r="F1380" s="2" t="s">
        <v>141</v>
      </c>
    </row>
    <row r="1381" spans="1:6">
      <c r="A1381" s="3" t="s">
        <v>100</v>
      </c>
      <c r="B1381" s="3" t="s">
        <v>100</v>
      </c>
      <c r="C1381" s="4" t="s">
        <v>2036</v>
      </c>
      <c r="D1381" s="2" t="s">
        <v>2037</v>
      </c>
      <c r="E1381" s="2" t="s">
        <v>2038</v>
      </c>
      <c r="F1381" s="2" t="s">
        <v>2039</v>
      </c>
    </row>
    <row r="1382" spans="1:6">
      <c r="A1382" s="3" t="s">
        <v>100</v>
      </c>
      <c r="B1382" s="3" t="s">
        <v>100</v>
      </c>
      <c r="C1382" s="4" t="s">
        <v>2169</v>
      </c>
      <c r="D1382" s="2" t="s">
        <v>2170</v>
      </c>
      <c r="E1382" s="2" t="s">
        <v>2171</v>
      </c>
      <c r="F1382" s="2" t="s">
        <v>2172</v>
      </c>
    </row>
    <row r="1383" spans="1:6">
      <c r="A1383" s="3" t="s">
        <v>100</v>
      </c>
      <c r="B1383" s="3" t="s">
        <v>100</v>
      </c>
      <c r="C1383" s="4" t="s">
        <v>2173</v>
      </c>
      <c r="D1383" s="2" t="s">
        <v>2174</v>
      </c>
      <c r="E1383" s="2" t="s">
        <v>2175</v>
      </c>
      <c r="F1383" s="2" t="s">
        <v>2176</v>
      </c>
    </row>
    <row r="1384" spans="1:6">
      <c r="A1384" s="3" t="s">
        <v>100</v>
      </c>
      <c r="B1384" s="3" t="s">
        <v>100</v>
      </c>
      <c r="C1384" s="4" t="s">
        <v>2177</v>
      </c>
      <c r="D1384" s="2" t="s">
        <v>2178</v>
      </c>
      <c r="E1384" s="2" t="s">
        <v>2179</v>
      </c>
      <c r="F1384" s="2" t="s">
        <v>2180</v>
      </c>
    </row>
    <row r="1385" spans="1:6">
      <c r="A1385" s="3" t="s">
        <v>100</v>
      </c>
      <c r="B1385" s="3" t="s">
        <v>100</v>
      </c>
      <c r="C1385" s="4" t="s">
        <v>164</v>
      </c>
      <c r="D1385" s="2" t="s">
        <v>60</v>
      </c>
      <c r="E1385" s="2" t="s">
        <v>165</v>
      </c>
      <c r="F1385" s="2" t="s">
        <v>166</v>
      </c>
    </row>
    <row r="1386" spans="1:6">
      <c r="A1386" s="3" t="s">
        <v>100</v>
      </c>
      <c r="B1386" s="3" t="s">
        <v>100</v>
      </c>
      <c r="C1386" s="4" t="s">
        <v>167</v>
      </c>
      <c r="D1386" s="2" t="s">
        <v>61</v>
      </c>
      <c r="E1386" s="2" t="s">
        <v>168</v>
      </c>
      <c r="F1386" s="2" t="s">
        <v>169</v>
      </c>
    </row>
    <row r="1387" spans="1:6">
      <c r="A1387" s="3" t="s">
        <v>100</v>
      </c>
      <c r="B1387" s="3" t="s">
        <v>100</v>
      </c>
      <c r="C1387" s="4" t="s">
        <v>170</v>
      </c>
      <c r="D1387" s="2" t="s">
        <v>68</v>
      </c>
      <c r="E1387" s="2" t="s">
        <v>171</v>
      </c>
      <c r="F1387" s="2" t="s">
        <v>172</v>
      </c>
    </row>
    <row r="1388" spans="1:6">
      <c r="A1388" s="3" t="s">
        <v>100</v>
      </c>
      <c r="B1388" s="3" t="s">
        <v>100</v>
      </c>
      <c r="C1388" s="4" t="s">
        <v>173</v>
      </c>
      <c r="D1388" s="2" t="s">
        <v>174</v>
      </c>
      <c r="E1388" s="2" t="s">
        <v>175</v>
      </c>
      <c r="F1388" s="2" t="s">
        <v>176</v>
      </c>
    </row>
    <row r="1389" spans="1:6">
      <c r="A1389" s="3" t="s">
        <v>100</v>
      </c>
      <c r="B1389" s="3" t="s">
        <v>100</v>
      </c>
      <c r="C1389" s="4" t="s">
        <v>177</v>
      </c>
      <c r="D1389" s="2" t="s">
        <v>178</v>
      </c>
      <c r="E1389" s="2" t="s">
        <v>179</v>
      </c>
      <c r="F1389" s="2" t="s">
        <v>180</v>
      </c>
    </row>
    <row r="1390" spans="1:6">
      <c r="A1390" s="3" t="s">
        <v>100</v>
      </c>
      <c r="B1390" s="3" t="s">
        <v>100</v>
      </c>
      <c r="C1390" s="4" t="s">
        <v>181</v>
      </c>
      <c r="D1390" s="2" t="s">
        <v>182</v>
      </c>
      <c r="E1390" s="2" t="s">
        <v>183</v>
      </c>
      <c r="F1390" s="2" t="s">
        <v>184</v>
      </c>
    </row>
    <row r="1391" spans="1:6">
      <c r="A1391" s="3" t="s">
        <v>100</v>
      </c>
      <c r="B1391" s="3" t="s">
        <v>100</v>
      </c>
      <c r="C1391" s="4" t="s">
        <v>193</v>
      </c>
      <c r="D1391" s="2" t="s">
        <v>194</v>
      </c>
      <c r="E1391" s="2" t="s">
        <v>195</v>
      </c>
      <c r="F1391" s="2" t="s">
        <v>196</v>
      </c>
    </row>
    <row r="1392" spans="1:6">
      <c r="A1392" s="3" t="s">
        <v>100</v>
      </c>
      <c r="B1392" s="3" t="s">
        <v>100</v>
      </c>
      <c r="C1392" s="4" t="s">
        <v>1772</v>
      </c>
      <c r="D1392" s="2" t="s">
        <v>1773</v>
      </c>
      <c r="E1392" s="2" t="s">
        <v>1774</v>
      </c>
      <c r="F1392" s="2" t="s">
        <v>1775</v>
      </c>
    </row>
    <row r="1393" spans="1:6">
      <c r="A1393" s="3" t="s">
        <v>100</v>
      </c>
      <c r="B1393" s="3" t="s">
        <v>100</v>
      </c>
      <c r="C1393" s="4" t="s">
        <v>1776</v>
      </c>
      <c r="D1393" s="2" t="s">
        <v>1777</v>
      </c>
      <c r="E1393" s="2" t="s">
        <v>1778</v>
      </c>
      <c r="F1393" s="2" t="s">
        <v>1779</v>
      </c>
    </row>
    <row r="1394" spans="1:6">
      <c r="A1394" s="3" t="s">
        <v>100</v>
      </c>
      <c r="B1394" s="3" t="s">
        <v>100</v>
      </c>
      <c r="C1394" s="4" t="s">
        <v>201</v>
      </c>
      <c r="D1394" s="2" t="s">
        <v>202</v>
      </c>
      <c r="E1394" s="2" t="s">
        <v>203</v>
      </c>
      <c r="F1394" s="2" t="s">
        <v>202</v>
      </c>
    </row>
    <row r="1395" spans="1:6">
      <c r="A1395" s="3" t="s">
        <v>100</v>
      </c>
      <c r="B1395" s="3" t="s">
        <v>100</v>
      </c>
      <c r="C1395" s="4" t="s">
        <v>239</v>
      </c>
      <c r="D1395" s="2" t="s">
        <v>240</v>
      </c>
      <c r="E1395" s="2" t="s">
        <v>241</v>
      </c>
      <c r="F1395" s="2" t="s">
        <v>242</v>
      </c>
    </row>
    <row r="1396" spans="1:6">
      <c r="A1396" s="3" t="s">
        <v>100</v>
      </c>
      <c r="B1396" s="3" t="s">
        <v>100</v>
      </c>
      <c r="C1396" s="4" t="s">
        <v>2181</v>
      </c>
      <c r="D1396" s="2" t="s">
        <v>2182</v>
      </c>
      <c r="E1396" s="2" t="s">
        <v>2183</v>
      </c>
      <c r="F1396" s="2" t="s">
        <v>2184</v>
      </c>
    </row>
    <row r="1397" spans="1:6">
      <c r="A1397" s="3" t="s">
        <v>100</v>
      </c>
      <c r="B1397" s="3" t="s">
        <v>100</v>
      </c>
      <c r="C1397" s="4" t="s">
        <v>2185</v>
      </c>
      <c r="D1397" s="2" t="s">
        <v>2186</v>
      </c>
      <c r="E1397" s="2" t="s">
        <v>2187</v>
      </c>
      <c r="F1397" s="2" t="s">
        <v>2188</v>
      </c>
    </row>
    <row r="1398" spans="1:6">
      <c r="A1398" s="3" t="s">
        <v>100</v>
      </c>
      <c r="B1398" s="3" t="s">
        <v>100</v>
      </c>
      <c r="C1398" s="4" t="s">
        <v>2189</v>
      </c>
      <c r="D1398" s="2" t="s">
        <v>2190</v>
      </c>
      <c r="E1398" s="2" t="s">
        <v>2191</v>
      </c>
      <c r="F1398" s="2" t="s">
        <v>2192</v>
      </c>
    </row>
    <row r="1399" spans="1:6">
      <c r="A1399" s="3" t="s">
        <v>100</v>
      </c>
      <c r="B1399" s="3" t="s">
        <v>100</v>
      </c>
      <c r="C1399" s="4" t="s">
        <v>243</v>
      </c>
      <c r="D1399" s="2" t="s">
        <v>244</v>
      </c>
      <c r="E1399" s="2" t="s">
        <v>245</v>
      </c>
      <c r="F1399" s="2" t="s">
        <v>246</v>
      </c>
    </row>
    <row r="1400" spans="1:6">
      <c r="A1400" s="3" t="s">
        <v>100</v>
      </c>
      <c r="B1400" s="3" t="s">
        <v>100</v>
      </c>
      <c r="C1400" s="4" t="s">
        <v>247</v>
      </c>
      <c r="D1400" s="2" t="s">
        <v>248</v>
      </c>
      <c r="E1400" s="2" t="s">
        <v>249</v>
      </c>
      <c r="F1400" s="2" t="s">
        <v>250</v>
      </c>
    </row>
    <row r="1401" spans="1:6">
      <c r="A1401" s="3" t="s">
        <v>100</v>
      </c>
      <c r="B1401" s="3" t="s">
        <v>100</v>
      </c>
      <c r="C1401" s="4" t="s">
        <v>251</v>
      </c>
      <c r="D1401" s="2" t="s">
        <v>252</v>
      </c>
      <c r="E1401" s="2" t="s">
        <v>253</v>
      </c>
      <c r="F1401" s="2" t="s">
        <v>254</v>
      </c>
    </row>
    <row r="1402" spans="1:6">
      <c r="A1402" s="3" t="s">
        <v>100</v>
      </c>
      <c r="B1402" s="3" t="s">
        <v>100</v>
      </c>
      <c r="C1402" s="4" t="s">
        <v>255</v>
      </c>
      <c r="D1402" s="2" t="s">
        <v>256</v>
      </c>
      <c r="E1402" s="2" t="s">
        <v>257</v>
      </c>
      <c r="F1402" s="2" t="s">
        <v>258</v>
      </c>
    </row>
    <row r="1403" spans="1:6">
      <c r="A1403" s="3" t="s">
        <v>100</v>
      </c>
      <c r="B1403" s="3" t="s">
        <v>100</v>
      </c>
      <c r="C1403" s="4" t="s">
        <v>2193</v>
      </c>
      <c r="D1403" s="2" t="s">
        <v>2194</v>
      </c>
      <c r="E1403" s="2" t="s">
        <v>2195</v>
      </c>
      <c r="F1403" s="2" t="s">
        <v>2196</v>
      </c>
    </row>
    <row r="1404" spans="1:6">
      <c r="A1404" s="3" t="s">
        <v>100</v>
      </c>
      <c r="B1404" s="3" t="s">
        <v>100</v>
      </c>
      <c r="C1404" s="4" t="s">
        <v>259</v>
      </c>
      <c r="D1404" s="2" t="s">
        <v>260</v>
      </c>
      <c r="E1404" s="2" t="s">
        <v>261</v>
      </c>
      <c r="F1404" s="2" t="s">
        <v>262</v>
      </c>
    </row>
    <row r="1405" spans="1:6">
      <c r="A1405" s="3" t="s">
        <v>100</v>
      </c>
      <c r="B1405" s="3" t="s">
        <v>100</v>
      </c>
      <c r="C1405" s="4" t="s">
        <v>263</v>
      </c>
      <c r="D1405" s="2" t="s">
        <v>264</v>
      </c>
      <c r="E1405" s="2" t="s">
        <v>265</v>
      </c>
      <c r="F1405" s="2" t="s">
        <v>266</v>
      </c>
    </row>
    <row r="1406" spans="1:6">
      <c r="A1406" s="3" t="s">
        <v>100</v>
      </c>
      <c r="B1406" s="3" t="s">
        <v>100</v>
      </c>
      <c r="C1406" s="4" t="s">
        <v>2040</v>
      </c>
      <c r="D1406" s="2" t="s">
        <v>2041</v>
      </c>
      <c r="E1406" s="2" t="s">
        <v>2042</v>
      </c>
      <c r="F1406" s="2" t="s">
        <v>2043</v>
      </c>
    </row>
    <row r="1407" spans="1:6">
      <c r="A1407" s="3" t="s">
        <v>100</v>
      </c>
      <c r="B1407" s="3" t="s">
        <v>100</v>
      </c>
      <c r="C1407" s="4" t="s">
        <v>2044</v>
      </c>
      <c r="D1407" s="2" t="s">
        <v>2045</v>
      </c>
      <c r="E1407" s="2" t="s">
        <v>2046</v>
      </c>
      <c r="F1407" s="2" t="s">
        <v>2047</v>
      </c>
    </row>
    <row r="1408" spans="1:6">
      <c r="A1408" s="3" t="s">
        <v>100</v>
      </c>
      <c r="B1408" s="3" t="s">
        <v>100</v>
      </c>
      <c r="C1408" s="4" t="s">
        <v>2048</v>
      </c>
      <c r="D1408" s="2" t="s">
        <v>2049</v>
      </c>
      <c r="E1408" s="2" t="s">
        <v>2050</v>
      </c>
      <c r="F1408" s="2" t="s">
        <v>2051</v>
      </c>
    </row>
    <row r="1409" spans="1:6">
      <c r="A1409" s="3" t="s">
        <v>100</v>
      </c>
      <c r="B1409" s="3" t="s">
        <v>100</v>
      </c>
      <c r="C1409" s="4" t="s">
        <v>2197</v>
      </c>
      <c r="D1409" s="2" t="s">
        <v>2198</v>
      </c>
      <c r="E1409" s="2" t="s">
        <v>2199</v>
      </c>
      <c r="F1409" s="2" t="s">
        <v>2200</v>
      </c>
    </row>
    <row r="1410" spans="1:6">
      <c r="A1410" s="3" t="s">
        <v>100</v>
      </c>
      <c r="B1410" s="3" t="s">
        <v>100</v>
      </c>
      <c r="C1410" s="4" t="s">
        <v>2201</v>
      </c>
      <c r="D1410" s="2" t="s">
        <v>2202</v>
      </c>
      <c r="E1410" s="2" t="s">
        <v>2203</v>
      </c>
      <c r="F1410" s="2" t="s">
        <v>2204</v>
      </c>
    </row>
    <row r="1411" spans="1:6">
      <c r="A1411" s="3" t="s">
        <v>100</v>
      </c>
      <c r="B1411" s="3" t="s">
        <v>100</v>
      </c>
      <c r="C1411" s="4" t="s">
        <v>2205</v>
      </c>
      <c r="D1411" s="2" t="s">
        <v>2206</v>
      </c>
      <c r="E1411" s="2" t="s">
        <v>2207</v>
      </c>
      <c r="F1411" s="2" t="s">
        <v>2208</v>
      </c>
    </row>
    <row r="1412" spans="1:6">
      <c r="A1412" s="3" t="s">
        <v>100</v>
      </c>
      <c r="B1412" s="3" t="s">
        <v>100</v>
      </c>
      <c r="C1412" s="4" t="s">
        <v>2209</v>
      </c>
      <c r="D1412" s="2" t="s">
        <v>2210</v>
      </c>
      <c r="E1412" s="2" t="s">
        <v>2211</v>
      </c>
      <c r="F1412" s="2" t="s">
        <v>2212</v>
      </c>
    </row>
    <row r="1413" spans="1:6">
      <c r="A1413" s="3" t="s">
        <v>100</v>
      </c>
      <c r="B1413" s="3" t="s">
        <v>100</v>
      </c>
      <c r="C1413" s="4" t="s">
        <v>2213</v>
      </c>
      <c r="D1413" s="2" t="s">
        <v>2214</v>
      </c>
      <c r="E1413" s="2" t="s">
        <v>2215</v>
      </c>
      <c r="F1413" s="2" t="s">
        <v>2216</v>
      </c>
    </row>
    <row r="1414" spans="1:6">
      <c r="A1414" s="3" t="s">
        <v>100</v>
      </c>
      <c r="B1414" s="3" t="s">
        <v>100</v>
      </c>
      <c r="C1414" s="4" t="s">
        <v>2217</v>
      </c>
      <c r="D1414" s="2" t="s">
        <v>2218</v>
      </c>
      <c r="E1414" s="2" t="s">
        <v>2219</v>
      </c>
      <c r="F1414" s="2" t="s">
        <v>2220</v>
      </c>
    </row>
    <row r="1415" spans="1:6">
      <c r="A1415" s="3" t="s">
        <v>100</v>
      </c>
      <c r="B1415" s="3" t="s">
        <v>100</v>
      </c>
      <c r="C1415" s="4" t="s">
        <v>2221</v>
      </c>
      <c r="D1415" s="2" t="s">
        <v>284</v>
      </c>
      <c r="E1415" s="2" t="s">
        <v>285</v>
      </c>
      <c r="F1415" s="2" t="s">
        <v>2222</v>
      </c>
    </row>
    <row r="1416" spans="1:6">
      <c r="A1416" s="3" t="s">
        <v>100</v>
      </c>
      <c r="B1416" s="3" t="s">
        <v>100</v>
      </c>
      <c r="C1416" s="4" t="s">
        <v>2223</v>
      </c>
      <c r="D1416" s="2" t="s">
        <v>2224</v>
      </c>
      <c r="E1416" s="2" t="s">
        <v>2225</v>
      </c>
      <c r="F1416" s="2" t="s">
        <v>2226</v>
      </c>
    </row>
    <row r="1417" spans="1:6">
      <c r="A1417" s="3" t="s">
        <v>100</v>
      </c>
      <c r="B1417" s="3" t="s">
        <v>100</v>
      </c>
      <c r="C1417" s="4" t="s">
        <v>2227</v>
      </c>
      <c r="D1417" s="2" t="s">
        <v>2228</v>
      </c>
      <c r="E1417" s="2" t="s">
        <v>2229</v>
      </c>
      <c r="F1417" s="2" t="s">
        <v>2230</v>
      </c>
    </row>
    <row r="1418" spans="1:6">
      <c r="A1418" s="3" t="s">
        <v>100</v>
      </c>
      <c r="B1418" s="3" t="s">
        <v>100</v>
      </c>
      <c r="C1418" s="4" t="s">
        <v>2231</v>
      </c>
      <c r="D1418" s="2" t="s">
        <v>2232</v>
      </c>
      <c r="E1418" s="2" t="s">
        <v>2233</v>
      </c>
      <c r="F1418" s="2" t="s">
        <v>2234</v>
      </c>
    </row>
    <row r="1419" spans="1:6">
      <c r="A1419" s="3" t="s">
        <v>100</v>
      </c>
      <c r="B1419" s="3" t="s">
        <v>100</v>
      </c>
      <c r="C1419" s="4" t="s">
        <v>2235</v>
      </c>
      <c r="D1419" s="2" t="s">
        <v>2236</v>
      </c>
      <c r="E1419" s="2" t="s">
        <v>2237</v>
      </c>
      <c r="F1419" s="2" t="s">
        <v>2238</v>
      </c>
    </row>
    <row r="1420" spans="1:6">
      <c r="A1420" s="3" t="s">
        <v>100</v>
      </c>
      <c r="B1420" s="3" t="s">
        <v>100</v>
      </c>
      <c r="C1420" s="4" t="s">
        <v>2239</v>
      </c>
      <c r="D1420" s="2" t="s">
        <v>2240</v>
      </c>
      <c r="E1420" s="2" t="s">
        <v>2241</v>
      </c>
      <c r="F1420" s="2" t="s">
        <v>2242</v>
      </c>
    </row>
    <row r="1421" spans="1:6">
      <c r="A1421" s="3" t="s">
        <v>109</v>
      </c>
      <c r="B1421" s="3" t="s">
        <v>109</v>
      </c>
      <c r="C1421" s="4" t="s">
        <v>116</v>
      </c>
      <c r="D1421" s="2" t="s">
        <v>67</v>
      </c>
      <c r="E1421" s="2" t="s">
        <v>117</v>
      </c>
      <c r="F1421" s="2" t="s">
        <v>118</v>
      </c>
    </row>
    <row r="1422" spans="1:6">
      <c r="A1422" s="3" t="s">
        <v>109</v>
      </c>
      <c r="B1422" s="3" t="s">
        <v>109</v>
      </c>
      <c r="C1422" s="4" t="s">
        <v>119</v>
      </c>
      <c r="D1422" s="2" t="s">
        <v>69</v>
      </c>
      <c r="E1422" s="2" t="s">
        <v>63</v>
      </c>
      <c r="F1422" s="2" t="s">
        <v>120</v>
      </c>
    </row>
    <row r="1423" spans="1:6">
      <c r="A1423" s="3" t="s">
        <v>109</v>
      </c>
      <c r="B1423" s="3" t="s">
        <v>109</v>
      </c>
      <c r="C1423" s="4" t="s">
        <v>121</v>
      </c>
      <c r="D1423" s="2" t="s">
        <v>122</v>
      </c>
      <c r="E1423" s="2" t="s">
        <v>123</v>
      </c>
      <c r="F1423" s="2" t="s">
        <v>124</v>
      </c>
    </row>
    <row r="1424" spans="1:6">
      <c r="A1424" s="3" t="s">
        <v>109</v>
      </c>
      <c r="B1424" s="3" t="s">
        <v>109</v>
      </c>
      <c r="C1424" s="4" t="s">
        <v>125</v>
      </c>
      <c r="D1424" s="2" t="s">
        <v>126</v>
      </c>
      <c r="E1424" s="2" t="s">
        <v>127</v>
      </c>
      <c r="F1424" s="2" t="s">
        <v>128</v>
      </c>
    </row>
    <row r="1425" spans="1:6">
      <c r="A1425" s="3" t="s">
        <v>109</v>
      </c>
      <c r="B1425" s="3" t="s">
        <v>109</v>
      </c>
      <c r="C1425" s="4" t="s">
        <v>129</v>
      </c>
      <c r="D1425" s="2" t="s">
        <v>73</v>
      </c>
      <c r="E1425" s="2" t="s">
        <v>130</v>
      </c>
      <c r="F1425" s="2" t="s">
        <v>131</v>
      </c>
    </row>
    <row r="1426" spans="1:6">
      <c r="A1426" s="3" t="s">
        <v>109</v>
      </c>
      <c r="B1426" s="3" t="s">
        <v>109</v>
      </c>
      <c r="C1426" s="4" t="s">
        <v>132</v>
      </c>
      <c r="D1426" s="2" t="s">
        <v>70</v>
      </c>
      <c r="E1426" s="2" t="s">
        <v>133</v>
      </c>
      <c r="F1426" s="2" t="s">
        <v>134</v>
      </c>
    </row>
    <row r="1427" spans="1:6">
      <c r="A1427" s="3" t="s">
        <v>109</v>
      </c>
      <c r="B1427" s="3" t="s">
        <v>109</v>
      </c>
      <c r="C1427" s="4" t="s">
        <v>135</v>
      </c>
      <c r="D1427" s="2" t="s">
        <v>136</v>
      </c>
      <c r="E1427" s="2" t="s">
        <v>137</v>
      </c>
      <c r="F1427" s="2" t="s">
        <v>138</v>
      </c>
    </row>
    <row r="1428" spans="1:6">
      <c r="A1428" s="3" t="s">
        <v>109</v>
      </c>
      <c r="B1428" s="3" t="s">
        <v>109</v>
      </c>
      <c r="C1428" s="4" t="s">
        <v>139</v>
      </c>
      <c r="D1428" s="2" t="s">
        <v>139</v>
      </c>
      <c r="E1428" s="2" t="s">
        <v>140</v>
      </c>
      <c r="F1428" s="2" t="s">
        <v>141</v>
      </c>
    </row>
    <row r="1429" spans="1:6">
      <c r="A1429" s="3" t="s">
        <v>109</v>
      </c>
      <c r="B1429" s="3" t="s">
        <v>109</v>
      </c>
      <c r="C1429" s="4" t="s">
        <v>2036</v>
      </c>
      <c r="D1429" s="2" t="s">
        <v>2037</v>
      </c>
      <c r="E1429" s="2" t="s">
        <v>2038</v>
      </c>
      <c r="F1429" s="2" t="s">
        <v>2039</v>
      </c>
    </row>
    <row r="1430" spans="1:6">
      <c r="A1430" s="3" t="s">
        <v>109</v>
      </c>
      <c r="B1430" s="3" t="s">
        <v>109</v>
      </c>
      <c r="C1430" s="4" t="s">
        <v>681</v>
      </c>
      <c r="D1430" s="2" t="s">
        <v>682</v>
      </c>
      <c r="E1430" s="2" t="s">
        <v>683</v>
      </c>
      <c r="F1430" s="2" t="s">
        <v>684</v>
      </c>
    </row>
    <row r="1431" spans="1:6">
      <c r="A1431" s="3" t="s">
        <v>109</v>
      </c>
      <c r="B1431" s="3" t="s">
        <v>109</v>
      </c>
      <c r="C1431" s="4" t="s">
        <v>685</v>
      </c>
      <c r="D1431" s="2" t="s">
        <v>686</v>
      </c>
      <c r="E1431" s="2" t="s">
        <v>687</v>
      </c>
      <c r="F1431" s="2" t="s">
        <v>686</v>
      </c>
    </row>
    <row r="1432" spans="1:6">
      <c r="A1432" s="3" t="s">
        <v>109</v>
      </c>
      <c r="B1432" s="3" t="s">
        <v>109</v>
      </c>
      <c r="C1432" s="4" t="s">
        <v>1855</v>
      </c>
      <c r="D1432" s="2" t="s">
        <v>1856</v>
      </c>
      <c r="E1432" s="2" t="s">
        <v>1857</v>
      </c>
      <c r="F1432" s="2" t="s">
        <v>1858</v>
      </c>
    </row>
    <row r="1433" spans="1:6">
      <c r="A1433" s="3" t="s">
        <v>109</v>
      </c>
      <c r="B1433" s="3" t="s">
        <v>109</v>
      </c>
      <c r="C1433" s="4" t="s">
        <v>2169</v>
      </c>
      <c r="D1433" s="2" t="s">
        <v>2170</v>
      </c>
      <c r="E1433" s="2" t="s">
        <v>2171</v>
      </c>
      <c r="F1433" s="2" t="s">
        <v>2172</v>
      </c>
    </row>
    <row r="1434" spans="1:6">
      <c r="A1434" s="3" t="s">
        <v>109</v>
      </c>
      <c r="B1434" s="3" t="s">
        <v>109</v>
      </c>
      <c r="C1434" s="4" t="s">
        <v>688</v>
      </c>
      <c r="D1434" s="2" t="s">
        <v>689</v>
      </c>
      <c r="E1434" s="2" t="s">
        <v>690</v>
      </c>
      <c r="F1434" s="2" t="s">
        <v>691</v>
      </c>
    </row>
    <row r="1435" spans="1:6">
      <c r="A1435" s="3" t="s">
        <v>109</v>
      </c>
      <c r="B1435" s="3" t="s">
        <v>109</v>
      </c>
      <c r="C1435" s="4" t="s">
        <v>692</v>
      </c>
      <c r="D1435" s="2" t="s">
        <v>693</v>
      </c>
      <c r="E1435" s="2" t="s">
        <v>694</v>
      </c>
      <c r="F1435" s="2" t="s">
        <v>695</v>
      </c>
    </row>
    <row r="1436" spans="1:6">
      <c r="A1436" s="3" t="s">
        <v>109</v>
      </c>
      <c r="B1436" s="3" t="s">
        <v>109</v>
      </c>
      <c r="C1436" s="4" t="s">
        <v>2140</v>
      </c>
      <c r="D1436" s="2" t="s">
        <v>2141</v>
      </c>
      <c r="E1436" s="2" t="s">
        <v>2142</v>
      </c>
      <c r="F1436" s="2" t="s">
        <v>2143</v>
      </c>
    </row>
    <row r="1437" spans="1:6">
      <c r="A1437" s="3" t="s">
        <v>109</v>
      </c>
      <c r="B1437" s="3" t="s">
        <v>109</v>
      </c>
      <c r="C1437" s="4" t="s">
        <v>2144</v>
      </c>
      <c r="D1437" s="2" t="s">
        <v>2145</v>
      </c>
      <c r="E1437" s="2" t="s">
        <v>2146</v>
      </c>
      <c r="F1437" s="2" t="s">
        <v>2147</v>
      </c>
    </row>
    <row r="1438" spans="1:6">
      <c r="A1438" s="3" t="s">
        <v>109</v>
      </c>
      <c r="B1438" s="3" t="s">
        <v>109</v>
      </c>
      <c r="C1438" s="4" t="s">
        <v>164</v>
      </c>
      <c r="D1438" s="2" t="s">
        <v>60</v>
      </c>
      <c r="E1438" s="2" t="s">
        <v>165</v>
      </c>
      <c r="F1438" s="2" t="s">
        <v>166</v>
      </c>
    </row>
    <row r="1439" spans="1:6">
      <c r="A1439" s="3" t="s">
        <v>109</v>
      </c>
      <c r="B1439" s="3" t="s">
        <v>109</v>
      </c>
      <c r="C1439" s="4" t="s">
        <v>167</v>
      </c>
      <c r="D1439" s="2" t="s">
        <v>61</v>
      </c>
      <c r="E1439" s="2" t="s">
        <v>168</v>
      </c>
      <c r="F1439" s="2" t="s">
        <v>169</v>
      </c>
    </row>
    <row r="1440" spans="1:6">
      <c r="A1440" s="3" t="s">
        <v>109</v>
      </c>
      <c r="B1440" s="3" t="s">
        <v>109</v>
      </c>
      <c r="C1440" s="4" t="s">
        <v>170</v>
      </c>
      <c r="D1440" s="2" t="s">
        <v>68</v>
      </c>
      <c r="E1440" s="2" t="s">
        <v>171</v>
      </c>
      <c r="F1440" s="2" t="s">
        <v>172</v>
      </c>
    </row>
    <row r="1441" spans="1:6">
      <c r="A1441" s="3" t="s">
        <v>109</v>
      </c>
      <c r="B1441" s="3" t="s">
        <v>109</v>
      </c>
      <c r="C1441" s="4" t="s">
        <v>173</v>
      </c>
      <c r="D1441" s="2" t="s">
        <v>174</v>
      </c>
      <c r="E1441" s="2" t="s">
        <v>175</v>
      </c>
      <c r="F1441" s="2" t="s">
        <v>176</v>
      </c>
    </row>
    <row r="1442" spans="1:6">
      <c r="A1442" s="3" t="s">
        <v>109</v>
      </c>
      <c r="B1442" s="3" t="s">
        <v>109</v>
      </c>
      <c r="C1442" s="4" t="s">
        <v>181</v>
      </c>
      <c r="D1442" s="2" t="s">
        <v>182</v>
      </c>
      <c r="E1442" s="2" t="s">
        <v>183</v>
      </c>
      <c r="F1442" s="2" t="s">
        <v>184</v>
      </c>
    </row>
    <row r="1443" spans="1:6">
      <c r="A1443" s="3" t="s">
        <v>109</v>
      </c>
      <c r="B1443" s="3" t="s">
        <v>109</v>
      </c>
      <c r="C1443" s="4" t="s">
        <v>189</v>
      </c>
      <c r="D1443" s="2" t="s">
        <v>190</v>
      </c>
      <c r="E1443" s="2" t="s">
        <v>191</v>
      </c>
      <c r="F1443" s="2" t="s">
        <v>192</v>
      </c>
    </row>
    <row r="1444" spans="1:6">
      <c r="A1444" s="3" t="s">
        <v>109</v>
      </c>
      <c r="B1444" s="3" t="s">
        <v>109</v>
      </c>
      <c r="C1444" s="4" t="s">
        <v>193</v>
      </c>
      <c r="D1444" s="2" t="s">
        <v>194</v>
      </c>
      <c r="E1444" s="2" t="s">
        <v>195</v>
      </c>
      <c r="F1444" s="2" t="s">
        <v>196</v>
      </c>
    </row>
    <row r="1445" spans="1:6">
      <c r="A1445" s="3" t="s">
        <v>109</v>
      </c>
      <c r="B1445" s="3" t="s">
        <v>109</v>
      </c>
      <c r="C1445" s="4" t="s">
        <v>201</v>
      </c>
      <c r="D1445" s="2" t="s">
        <v>202</v>
      </c>
      <c r="E1445" s="2" t="s">
        <v>203</v>
      </c>
      <c r="F1445" s="2" t="s">
        <v>202</v>
      </c>
    </row>
    <row r="1446" spans="1:6">
      <c r="A1446" s="3" t="s">
        <v>109</v>
      </c>
      <c r="B1446" s="3" t="s">
        <v>109</v>
      </c>
      <c r="C1446" s="4" t="s">
        <v>2181</v>
      </c>
      <c r="D1446" s="2" t="s">
        <v>2182</v>
      </c>
      <c r="E1446" s="2" t="s">
        <v>2183</v>
      </c>
      <c r="F1446" s="2" t="s">
        <v>2184</v>
      </c>
    </row>
    <row r="1447" spans="1:6">
      <c r="A1447" s="3" t="s">
        <v>109</v>
      </c>
      <c r="B1447" s="3" t="s">
        <v>109</v>
      </c>
      <c r="C1447" s="4" t="s">
        <v>2185</v>
      </c>
      <c r="D1447" s="2" t="s">
        <v>2186</v>
      </c>
      <c r="E1447" s="2" t="s">
        <v>2187</v>
      </c>
      <c r="F1447" s="2" t="s">
        <v>2188</v>
      </c>
    </row>
    <row r="1448" spans="1:6">
      <c r="A1448" s="3" t="s">
        <v>109</v>
      </c>
      <c r="B1448" s="3" t="s">
        <v>109</v>
      </c>
      <c r="C1448" s="4" t="s">
        <v>2189</v>
      </c>
      <c r="D1448" s="2" t="s">
        <v>2190</v>
      </c>
      <c r="E1448" s="2" t="s">
        <v>2191</v>
      </c>
      <c r="F1448" s="2" t="s">
        <v>2192</v>
      </c>
    </row>
    <row r="1449" spans="1:6">
      <c r="A1449" s="3" t="s">
        <v>109</v>
      </c>
      <c r="B1449" s="3" t="s">
        <v>109</v>
      </c>
      <c r="C1449" s="4" t="s">
        <v>2193</v>
      </c>
      <c r="D1449" s="2" t="s">
        <v>2194</v>
      </c>
      <c r="E1449" s="2" t="s">
        <v>2195</v>
      </c>
      <c r="F1449" s="2" t="s">
        <v>2196</v>
      </c>
    </row>
    <row r="1450" spans="1:6">
      <c r="A1450" s="3" t="s">
        <v>109</v>
      </c>
      <c r="B1450" s="3" t="s">
        <v>109</v>
      </c>
      <c r="C1450" s="4" t="s">
        <v>283</v>
      </c>
      <c r="D1450" s="2" t="s">
        <v>284</v>
      </c>
      <c r="E1450" s="2" t="s">
        <v>285</v>
      </c>
      <c r="F1450" s="2" t="s">
        <v>286</v>
      </c>
    </row>
    <row r="1451" spans="1:6">
      <c r="A1451" s="3" t="s">
        <v>109</v>
      </c>
      <c r="B1451" s="3" t="s">
        <v>109</v>
      </c>
      <c r="C1451" s="4" t="s">
        <v>1838</v>
      </c>
      <c r="D1451" s="2" t="s">
        <v>1839</v>
      </c>
      <c r="E1451" s="2" t="s">
        <v>1840</v>
      </c>
      <c r="F1451" s="2" t="s">
        <v>1841</v>
      </c>
    </row>
    <row r="1452" spans="1:6">
      <c r="A1452" s="3" t="s">
        <v>109</v>
      </c>
      <c r="B1452" s="3" t="s">
        <v>109</v>
      </c>
      <c r="C1452" s="4" t="s">
        <v>2205</v>
      </c>
      <c r="D1452" s="2" t="s">
        <v>2206</v>
      </c>
      <c r="E1452" s="2" t="s">
        <v>2207</v>
      </c>
      <c r="F1452" s="2" t="s">
        <v>2208</v>
      </c>
    </row>
    <row r="1453" spans="1:6">
      <c r="A1453" s="3" t="s">
        <v>109</v>
      </c>
      <c r="B1453" s="3" t="s">
        <v>109</v>
      </c>
      <c r="C1453" s="4" t="s">
        <v>2243</v>
      </c>
      <c r="D1453" s="2" t="s">
        <v>2244</v>
      </c>
      <c r="E1453" s="2" t="s">
        <v>2245</v>
      </c>
      <c r="F1453" s="2" t="s">
        <v>2246</v>
      </c>
    </row>
    <row r="1454" spans="1:6">
      <c r="A1454" s="3" t="s">
        <v>109</v>
      </c>
      <c r="B1454" s="3" t="s">
        <v>109</v>
      </c>
      <c r="C1454" s="4" t="s">
        <v>2247</v>
      </c>
      <c r="D1454" s="2" t="s">
        <v>2248</v>
      </c>
      <c r="E1454" s="2" t="s">
        <v>2249</v>
      </c>
      <c r="F1454" s="2" t="s">
        <v>2250</v>
      </c>
    </row>
    <row r="1455" spans="1:6">
      <c r="A1455" s="3" t="s">
        <v>109</v>
      </c>
      <c r="B1455" s="3" t="s">
        <v>109</v>
      </c>
      <c r="C1455" s="4" t="s">
        <v>2251</v>
      </c>
      <c r="D1455" s="2" t="s">
        <v>2252</v>
      </c>
      <c r="E1455" s="2" t="s">
        <v>2253</v>
      </c>
      <c r="F1455" s="2" t="s">
        <v>2254</v>
      </c>
    </row>
    <row r="1456" spans="1:6">
      <c r="A1456" s="3" t="s">
        <v>109</v>
      </c>
      <c r="B1456" s="3" t="s">
        <v>109</v>
      </c>
      <c r="C1456" s="4" t="s">
        <v>2255</v>
      </c>
      <c r="D1456" s="2" t="s">
        <v>2256</v>
      </c>
      <c r="E1456" s="2" t="s">
        <v>2257</v>
      </c>
      <c r="F1456" s="2" t="s">
        <v>2258</v>
      </c>
    </row>
    <row r="1457" spans="1:6">
      <c r="A1457" s="3" t="s">
        <v>109</v>
      </c>
      <c r="B1457" s="3" t="s">
        <v>109</v>
      </c>
      <c r="C1457" s="4" t="s">
        <v>2259</v>
      </c>
      <c r="D1457" s="2" t="s">
        <v>2260</v>
      </c>
      <c r="E1457" s="2" t="s">
        <v>2261</v>
      </c>
      <c r="F1457" s="2" t="s">
        <v>2262</v>
      </c>
    </row>
    <row r="1458" spans="1:6">
      <c r="A1458" s="3" t="s">
        <v>109</v>
      </c>
      <c r="B1458" s="3" t="s">
        <v>109</v>
      </c>
      <c r="C1458" s="4" t="s">
        <v>2263</v>
      </c>
      <c r="D1458" s="2" t="s">
        <v>2264</v>
      </c>
      <c r="E1458" s="2" t="s">
        <v>2265</v>
      </c>
      <c r="F1458" s="2" t="s">
        <v>2266</v>
      </c>
    </row>
    <row r="1459" spans="1:6">
      <c r="A1459" s="3" t="s">
        <v>109</v>
      </c>
      <c r="B1459" s="3" t="s">
        <v>109</v>
      </c>
      <c r="C1459" s="4" t="s">
        <v>2267</v>
      </c>
      <c r="D1459" s="2" t="s">
        <v>2268</v>
      </c>
      <c r="E1459" s="2" t="s">
        <v>2269</v>
      </c>
      <c r="F1459" s="2" t="s">
        <v>2270</v>
      </c>
    </row>
    <row r="1460" spans="1:6">
      <c r="A1460" s="3" t="s">
        <v>109</v>
      </c>
      <c r="B1460" s="3" t="s">
        <v>109</v>
      </c>
      <c r="C1460" s="4" t="s">
        <v>2271</v>
      </c>
      <c r="D1460" s="2" t="s">
        <v>2272</v>
      </c>
      <c r="E1460" s="2" t="s">
        <v>2273</v>
      </c>
      <c r="F1460" s="2" t="s">
        <v>2274</v>
      </c>
    </row>
    <row r="1461" spans="1:6">
      <c r="A1461" s="3" t="s">
        <v>109</v>
      </c>
      <c r="B1461" s="3" t="s">
        <v>109</v>
      </c>
      <c r="C1461" s="4" t="s">
        <v>2275</v>
      </c>
      <c r="D1461" s="2" t="s">
        <v>2276</v>
      </c>
      <c r="E1461" s="2" t="s">
        <v>2277</v>
      </c>
      <c r="F1461" s="2" t="s">
        <v>2278</v>
      </c>
    </row>
    <row r="1462" spans="1:6">
      <c r="A1462" s="3" t="s">
        <v>109</v>
      </c>
      <c r="B1462" s="3" t="s">
        <v>109</v>
      </c>
      <c r="C1462" s="4" t="s">
        <v>2279</v>
      </c>
      <c r="D1462" s="2" t="s">
        <v>2280</v>
      </c>
      <c r="E1462" s="2" t="s">
        <v>2281</v>
      </c>
      <c r="F1462" s="2" t="s">
        <v>2282</v>
      </c>
    </row>
    <row r="1463" spans="1:6">
      <c r="A1463" s="3" t="s">
        <v>109</v>
      </c>
      <c r="B1463" s="3" t="s">
        <v>109</v>
      </c>
      <c r="C1463" s="4" t="s">
        <v>2283</v>
      </c>
      <c r="D1463" s="2" t="s">
        <v>2284</v>
      </c>
      <c r="E1463" s="2" t="s">
        <v>2285</v>
      </c>
      <c r="F1463" s="2" t="s">
        <v>2286</v>
      </c>
    </row>
    <row r="1464" spans="1:6">
      <c r="A1464" s="3" t="s">
        <v>113</v>
      </c>
      <c r="B1464" s="3" t="s">
        <v>113</v>
      </c>
      <c r="C1464" s="4" t="s">
        <v>116</v>
      </c>
      <c r="D1464" s="2" t="s">
        <v>67</v>
      </c>
      <c r="E1464" s="2" t="s">
        <v>117</v>
      </c>
      <c r="F1464" s="2" t="s">
        <v>118</v>
      </c>
    </row>
    <row r="1465" spans="1:6">
      <c r="A1465" s="3" t="s">
        <v>113</v>
      </c>
      <c r="B1465" s="3" t="s">
        <v>113</v>
      </c>
      <c r="C1465" s="4" t="s">
        <v>119</v>
      </c>
      <c r="D1465" s="2" t="s">
        <v>69</v>
      </c>
      <c r="E1465" s="2" t="s">
        <v>63</v>
      </c>
      <c r="F1465" s="2" t="s">
        <v>120</v>
      </c>
    </row>
    <row r="1466" spans="1:6">
      <c r="A1466" s="3" t="s">
        <v>113</v>
      </c>
      <c r="B1466" s="3" t="s">
        <v>113</v>
      </c>
      <c r="C1466" s="4" t="s">
        <v>121</v>
      </c>
      <c r="D1466" s="2" t="s">
        <v>122</v>
      </c>
      <c r="E1466" s="2" t="s">
        <v>123</v>
      </c>
      <c r="F1466" s="2" t="s">
        <v>124</v>
      </c>
    </row>
    <row r="1467" spans="1:6">
      <c r="A1467" s="3" t="s">
        <v>113</v>
      </c>
      <c r="B1467" s="3" t="s">
        <v>113</v>
      </c>
      <c r="C1467" s="4" t="s">
        <v>125</v>
      </c>
      <c r="D1467" s="2" t="s">
        <v>126</v>
      </c>
      <c r="E1467" s="2" t="s">
        <v>127</v>
      </c>
      <c r="F1467" s="2" t="s">
        <v>128</v>
      </c>
    </row>
    <row r="1468" spans="1:6">
      <c r="A1468" s="3" t="s">
        <v>113</v>
      </c>
      <c r="B1468" s="3" t="s">
        <v>113</v>
      </c>
      <c r="C1468" s="4" t="s">
        <v>129</v>
      </c>
      <c r="D1468" s="2" t="s">
        <v>73</v>
      </c>
      <c r="E1468" s="2" t="s">
        <v>130</v>
      </c>
      <c r="F1468" s="2" t="s">
        <v>131</v>
      </c>
    </row>
    <row r="1469" spans="1:6">
      <c r="A1469" s="3" t="s">
        <v>113</v>
      </c>
      <c r="B1469" s="3" t="s">
        <v>113</v>
      </c>
      <c r="C1469" s="4" t="s">
        <v>132</v>
      </c>
      <c r="D1469" s="2" t="s">
        <v>70</v>
      </c>
      <c r="E1469" s="2" t="s">
        <v>133</v>
      </c>
      <c r="F1469" s="2" t="s">
        <v>134</v>
      </c>
    </row>
    <row r="1470" spans="1:6">
      <c r="A1470" s="3" t="s">
        <v>113</v>
      </c>
      <c r="B1470" s="3" t="s">
        <v>113</v>
      </c>
      <c r="C1470" s="4" t="s">
        <v>135</v>
      </c>
      <c r="D1470" s="2" t="s">
        <v>136</v>
      </c>
      <c r="E1470" s="2" t="s">
        <v>137</v>
      </c>
      <c r="F1470" s="2" t="s">
        <v>138</v>
      </c>
    </row>
    <row r="1471" spans="1:6">
      <c r="A1471" s="3" t="s">
        <v>113</v>
      </c>
      <c r="B1471" s="3" t="s">
        <v>113</v>
      </c>
      <c r="C1471" s="4" t="s">
        <v>139</v>
      </c>
      <c r="D1471" s="2" t="s">
        <v>139</v>
      </c>
      <c r="E1471" s="2" t="s">
        <v>140</v>
      </c>
      <c r="F1471" s="2" t="s">
        <v>141</v>
      </c>
    </row>
    <row r="1472" spans="1:6">
      <c r="A1472" s="3" t="s">
        <v>113</v>
      </c>
      <c r="B1472" s="3" t="s">
        <v>113</v>
      </c>
      <c r="C1472" s="4" t="s">
        <v>741</v>
      </c>
      <c r="D1472" s="2" t="s">
        <v>742</v>
      </c>
      <c r="E1472" s="2" t="s">
        <v>743</v>
      </c>
      <c r="F1472" s="2" t="s">
        <v>744</v>
      </c>
    </row>
    <row r="1473" spans="1:6">
      <c r="A1473" s="3" t="s">
        <v>113</v>
      </c>
      <c r="B1473" s="3" t="s">
        <v>113</v>
      </c>
      <c r="C1473" s="4" t="s">
        <v>745</v>
      </c>
      <c r="D1473" s="2" t="s">
        <v>746</v>
      </c>
      <c r="E1473" s="2" t="s">
        <v>747</v>
      </c>
      <c r="F1473" s="2" t="s">
        <v>748</v>
      </c>
    </row>
    <row r="1474" spans="1:6">
      <c r="A1474" s="3" t="s">
        <v>113</v>
      </c>
      <c r="B1474" s="3" t="s">
        <v>113</v>
      </c>
      <c r="C1474" s="4" t="s">
        <v>2036</v>
      </c>
      <c r="D1474" s="2" t="s">
        <v>2037</v>
      </c>
      <c r="E1474" s="2" t="s">
        <v>2038</v>
      </c>
      <c r="F1474" s="2" t="s">
        <v>2039</v>
      </c>
    </row>
    <row r="1475" spans="1:6">
      <c r="A1475" s="3" t="s">
        <v>113</v>
      </c>
      <c r="B1475" s="3" t="s">
        <v>113</v>
      </c>
      <c r="C1475" s="4" t="s">
        <v>2173</v>
      </c>
      <c r="D1475" s="2" t="s">
        <v>2174</v>
      </c>
      <c r="E1475" s="2" t="s">
        <v>2175</v>
      </c>
      <c r="F1475" s="2" t="s">
        <v>2176</v>
      </c>
    </row>
    <row r="1476" spans="1:6">
      <c r="A1476" s="3" t="s">
        <v>113</v>
      </c>
      <c r="B1476" s="3" t="s">
        <v>113</v>
      </c>
      <c r="C1476" s="4" t="s">
        <v>164</v>
      </c>
      <c r="D1476" s="2" t="s">
        <v>60</v>
      </c>
      <c r="E1476" s="2" t="s">
        <v>165</v>
      </c>
      <c r="F1476" s="2" t="s">
        <v>166</v>
      </c>
    </row>
    <row r="1477" spans="1:6">
      <c r="A1477" s="3" t="s">
        <v>113</v>
      </c>
      <c r="B1477" s="3" t="s">
        <v>113</v>
      </c>
      <c r="C1477" s="4" t="s">
        <v>167</v>
      </c>
      <c r="D1477" s="2" t="s">
        <v>61</v>
      </c>
      <c r="E1477" s="2" t="s">
        <v>168</v>
      </c>
      <c r="F1477" s="2" t="s">
        <v>169</v>
      </c>
    </row>
    <row r="1478" spans="1:6">
      <c r="A1478" s="3" t="s">
        <v>113</v>
      </c>
      <c r="B1478" s="3" t="s">
        <v>113</v>
      </c>
      <c r="C1478" s="4" t="s">
        <v>170</v>
      </c>
      <c r="D1478" s="2" t="s">
        <v>68</v>
      </c>
      <c r="E1478" s="2" t="s">
        <v>171</v>
      </c>
      <c r="F1478" s="2" t="s">
        <v>172</v>
      </c>
    </row>
    <row r="1479" spans="1:6">
      <c r="A1479" s="3" t="s">
        <v>113</v>
      </c>
      <c r="B1479" s="3" t="s">
        <v>113</v>
      </c>
      <c r="C1479" s="4" t="s">
        <v>173</v>
      </c>
      <c r="D1479" s="2" t="s">
        <v>174</v>
      </c>
      <c r="E1479" s="2" t="s">
        <v>175</v>
      </c>
      <c r="F1479" s="2" t="s">
        <v>176</v>
      </c>
    </row>
    <row r="1480" spans="1:6">
      <c r="A1480" s="3" t="s">
        <v>113</v>
      </c>
      <c r="B1480" s="3" t="s">
        <v>113</v>
      </c>
      <c r="C1480" s="4" t="s">
        <v>181</v>
      </c>
      <c r="D1480" s="2" t="s">
        <v>182</v>
      </c>
      <c r="E1480" s="2" t="s">
        <v>183</v>
      </c>
      <c r="F1480" s="2" t="s">
        <v>184</v>
      </c>
    </row>
    <row r="1481" spans="1:6">
      <c r="A1481" s="3" t="s">
        <v>113</v>
      </c>
      <c r="B1481" s="3" t="s">
        <v>113</v>
      </c>
      <c r="C1481" s="4" t="s">
        <v>193</v>
      </c>
      <c r="D1481" s="2" t="s">
        <v>194</v>
      </c>
      <c r="E1481" s="2" t="s">
        <v>195</v>
      </c>
      <c r="F1481" s="2" t="s">
        <v>196</v>
      </c>
    </row>
    <row r="1482" spans="1:6">
      <c r="A1482" s="3" t="s">
        <v>113</v>
      </c>
      <c r="B1482" s="3" t="s">
        <v>113</v>
      </c>
      <c r="C1482" s="4" t="s">
        <v>201</v>
      </c>
      <c r="D1482" s="2" t="s">
        <v>202</v>
      </c>
      <c r="E1482" s="2" t="s">
        <v>203</v>
      </c>
      <c r="F1482" s="2" t="s">
        <v>202</v>
      </c>
    </row>
    <row r="1483" spans="1:6">
      <c r="A1483" s="3" t="s">
        <v>113</v>
      </c>
      <c r="B1483" s="3" t="s">
        <v>113</v>
      </c>
      <c r="C1483" s="4" t="s">
        <v>2181</v>
      </c>
      <c r="D1483" s="2" t="s">
        <v>2182</v>
      </c>
      <c r="E1483" s="2" t="s">
        <v>2183</v>
      </c>
      <c r="F1483" s="2" t="s">
        <v>2184</v>
      </c>
    </row>
    <row r="1484" spans="1:6">
      <c r="A1484" s="3" t="s">
        <v>113</v>
      </c>
      <c r="B1484" s="3" t="s">
        <v>113</v>
      </c>
      <c r="C1484" s="4" t="s">
        <v>2185</v>
      </c>
      <c r="D1484" s="2" t="s">
        <v>2186</v>
      </c>
      <c r="E1484" s="2" t="s">
        <v>2187</v>
      </c>
      <c r="F1484" s="2" t="s">
        <v>2188</v>
      </c>
    </row>
    <row r="1485" spans="1:6">
      <c r="A1485" s="3" t="s">
        <v>113</v>
      </c>
      <c r="B1485" s="3" t="s">
        <v>113</v>
      </c>
      <c r="C1485" s="4" t="s">
        <v>2189</v>
      </c>
      <c r="D1485" s="2" t="s">
        <v>2190</v>
      </c>
      <c r="E1485" s="2" t="s">
        <v>2191</v>
      </c>
      <c r="F1485" s="2" t="s">
        <v>2192</v>
      </c>
    </row>
    <row r="1486" spans="1:6">
      <c r="A1486" s="3" t="s">
        <v>113</v>
      </c>
      <c r="B1486" s="3" t="s">
        <v>113</v>
      </c>
      <c r="C1486" s="4" t="s">
        <v>243</v>
      </c>
      <c r="D1486" s="2" t="s">
        <v>244</v>
      </c>
      <c r="E1486" s="2" t="s">
        <v>245</v>
      </c>
      <c r="F1486" s="2" t="s">
        <v>246</v>
      </c>
    </row>
    <row r="1487" spans="1:6">
      <c r="A1487" s="3" t="s">
        <v>113</v>
      </c>
      <c r="B1487" s="3" t="s">
        <v>113</v>
      </c>
      <c r="C1487" s="4" t="s">
        <v>247</v>
      </c>
      <c r="D1487" s="2" t="s">
        <v>248</v>
      </c>
      <c r="E1487" s="2" t="s">
        <v>249</v>
      </c>
      <c r="F1487" s="2" t="s">
        <v>250</v>
      </c>
    </row>
    <row r="1488" spans="1:6">
      <c r="A1488" s="3" t="s">
        <v>113</v>
      </c>
      <c r="B1488" s="3" t="s">
        <v>113</v>
      </c>
      <c r="C1488" s="4" t="s">
        <v>251</v>
      </c>
      <c r="D1488" s="2" t="s">
        <v>252</v>
      </c>
      <c r="E1488" s="2" t="s">
        <v>253</v>
      </c>
      <c r="F1488" s="2" t="s">
        <v>254</v>
      </c>
    </row>
    <row r="1489" spans="1:6">
      <c r="A1489" s="3" t="s">
        <v>113</v>
      </c>
      <c r="B1489" s="3" t="s">
        <v>113</v>
      </c>
      <c r="C1489" s="4" t="s">
        <v>255</v>
      </c>
      <c r="D1489" s="2" t="s">
        <v>256</v>
      </c>
      <c r="E1489" s="2" t="s">
        <v>257</v>
      </c>
      <c r="F1489" s="2" t="s">
        <v>258</v>
      </c>
    </row>
    <row r="1490" spans="1:6">
      <c r="A1490" s="3" t="s">
        <v>113</v>
      </c>
      <c r="B1490" s="3" t="s">
        <v>113</v>
      </c>
      <c r="C1490" s="4" t="s">
        <v>2193</v>
      </c>
      <c r="D1490" s="2" t="s">
        <v>2194</v>
      </c>
      <c r="E1490" s="2" t="s">
        <v>2195</v>
      </c>
      <c r="F1490" s="2" t="s">
        <v>2196</v>
      </c>
    </row>
    <row r="1491" spans="1:6">
      <c r="A1491" s="3" t="s">
        <v>113</v>
      </c>
      <c r="B1491" s="3" t="s">
        <v>113</v>
      </c>
      <c r="C1491" s="4" t="s">
        <v>259</v>
      </c>
      <c r="D1491" s="2" t="s">
        <v>260</v>
      </c>
      <c r="E1491" s="2" t="s">
        <v>261</v>
      </c>
      <c r="F1491" s="2" t="s">
        <v>262</v>
      </c>
    </row>
    <row r="1492" spans="1:6">
      <c r="A1492" s="3" t="s">
        <v>113</v>
      </c>
      <c r="B1492" s="3" t="s">
        <v>113</v>
      </c>
      <c r="C1492" s="4" t="s">
        <v>263</v>
      </c>
      <c r="D1492" s="2" t="s">
        <v>264</v>
      </c>
      <c r="E1492" s="2" t="s">
        <v>265</v>
      </c>
      <c r="F1492" s="2" t="s">
        <v>266</v>
      </c>
    </row>
    <row r="1493" spans="1:6">
      <c r="A1493" s="3" t="s">
        <v>113</v>
      </c>
      <c r="B1493" s="3" t="s">
        <v>113</v>
      </c>
      <c r="C1493" s="4" t="s">
        <v>2040</v>
      </c>
      <c r="D1493" s="2" t="s">
        <v>2041</v>
      </c>
      <c r="E1493" s="2" t="s">
        <v>2042</v>
      </c>
      <c r="F1493" s="2" t="s">
        <v>2043</v>
      </c>
    </row>
    <row r="1494" spans="1:6">
      <c r="A1494" s="3" t="s">
        <v>113</v>
      </c>
      <c r="B1494" s="3" t="s">
        <v>113</v>
      </c>
      <c r="C1494" s="4" t="s">
        <v>2044</v>
      </c>
      <c r="D1494" s="2" t="s">
        <v>2045</v>
      </c>
      <c r="E1494" s="2" t="s">
        <v>2046</v>
      </c>
      <c r="F1494" s="2" t="s">
        <v>2047</v>
      </c>
    </row>
    <row r="1495" spans="1:6">
      <c r="A1495" s="3" t="s">
        <v>113</v>
      </c>
      <c r="B1495" s="3" t="s">
        <v>113</v>
      </c>
      <c r="C1495" s="4" t="s">
        <v>2048</v>
      </c>
      <c r="D1495" s="2" t="s">
        <v>2049</v>
      </c>
      <c r="E1495" s="2" t="s">
        <v>2050</v>
      </c>
      <c r="F1495" s="2" t="s">
        <v>2051</v>
      </c>
    </row>
    <row r="1496" spans="1:6">
      <c r="A1496" s="3" t="s">
        <v>113</v>
      </c>
      <c r="B1496" s="3" t="s">
        <v>113</v>
      </c>
      <c r="C1496" s="4" t="s">
        <v>283</v>
      </c>
      <c r="D1496" s="2" t="s">
        <v>284</v>
      </c>
      <c r="E1496" s="2" t="s">
        <v>285</v>
      </c>
      <c r="F1496" s="2" t="s">
        <v>286</v>
      </c>
    </row>
    <row r="1497" spans="1:6">
      <c r="A1497" s="3" t="s">
        <v>113</v>
      </c>
      <c r="B1497" s="3" t="s">
        <v>113</v>
      </c>
      <c r="C1497" s="4" t="s">
        <v>2197</v>
      </c>
      <c r="D1497" s="2" t="s">
        <v>2198</v>
      </c>
      <c r="E1497" s="2" t="s">
        <v>2199</v>
      </c>
      <c r="F1497" s="2" t="s">
        <v>2200</v>
      </c>
    </row>
    <row r="1498" spans="1:6">
      <c r="A1498" s="3" t="s">
        <v>113</v>
      </c>
      <c r="B1498" s="3" t="s">
        <v>113</v>
      </c>
      <c r="C1498" s="4" t="s">
        <v>2201</v>
      </c>
      <c r="D1498" s="2" t="s">
        <v>2202</v>
      </c>
      <c r="E1498" s="2" t="s">
        <v>2203</v>
      </c>
      <c r="F1498" s="2" t="s">
        <v>2204</v>
      </c>
    </row>
    <row r="1499" spans="1:6">
      <c r="A1499" s="3" t="s">
        <v>113</v>
      </c>
      <c r="B1499" s="3" t="s">
        <v>113</v>
      </c>
      <c r="C1499" s="4" t="s">
        <v>2287</v>
      </c>
      <c r="D1499" s="2" t="s">
        <v>2288</v>
      </c>
      <c r="E1499" s="2" t="s">
        <v>2289</v>
      </c>
      <c r="F1499" s="2" t="s">
        <v>2290</v>
      </c>
    </row>
    <row r="1500" spans="1:6">
      <c r="A1500" s="3" t="s">
        <v>113</v>
      </c>
      <c r="B1500" s="3" t="s">
        <v>113</v>
      </c>
      <c r="C1500" s="4" t="s">
        <v>2291</v>
      </c>
      <c r="D1500" s="2" t="s">
        <v>2292</v>
      </c>
      <c r="E1500" s="2" t="s">
        <v>2293</v>
      </c>
      <c r="F1500" s="2" t="s">
        <v>2294</v>
      </c>
    </row>
    <row r="1501" spans="1:6">
      <c r="A1501" s="3" t="s">
        <v>113</v>
      </c>
      <c r="B1501" s="3" t="s">
        <v>113</v>
      </c>
      <c r="C1501" s="4" t="s">
        <v>2295</v>
      </c>
      <c r="D1501" s="2" t="s">
        <v>2296</v>
      </c>
      <c r="E1501" s="2" t="s">
        <v>2297</v>
      </c>
      <c r="F1501" s="2" t="s">
        <v>2296</v>
      </c>
    </row>
    <row r="1502" spans="1:6">
      <c r="A1502" s="3" t="s">
        <v>113</v>
      </c>
      <c r="B1502" s="3" t="s">
        <v>113</v>
      </c>
      <c r="C1502" s="4" t="s">
        <v>2298</v>
      </c>
      <c r="D1502" s="2" t="s">
        <v>2299</v>
      </c>
      <c r="E1502" s="2" t="s">
        <v>2300</v>
      </c>
      <c r="F1502" s="2" t="s">
        <v>2299</v>
      </c>
    </row>
    <row r="1503" spans="1:6">
      <c r="A1503" s="3" t="s">
        <v>2301</v>
      </c>
      <c r="B1503" s="3" t="s">
        <v>81</v>
      </c>
      <c r="C1503" s="4" t="s">
        <v>116</v>
      </c>
      <c r="D1503" s="2" t="s">
        <v>67</v>
      </c>
      <c r="E1503" s="2" t="s">
        <v>117</v>
      </c>
      <c r="F1503" s="2" t="s">
        <v>118</v>
      </c>
    </row>
    <row r="1504" spans="1:6">
      <c r="A1504" s="3" t="s">
        <v>2301</v>
      </c>
      <c r="B1504" s="3" t="s">
        <v>81</v>
      </c>
      <c r="C1504" s="4" t="s">
        <v>129</v>
      </c>
      <c r="D1504" s="2" t="s">
        <v>73</v>
      </c>
      <c r="E1504" s="2" t="s">
        <v>130</v>
      </c>
      <c r="F1504" s="2" t="s">
        <v>131</v>
      </c>
    </row>
    <row r="1505" spans="1:6">
      <c r="A1505" s="3" t="s">
        <v>2301</v>
      </c>
      <c r="B1505" s="3" t="s">
        <v>81</v>
      </c>
      <c r="C1505" s="4" t="s">
        <v>132</v>
      </c>
      <c r="D1505" s="2" t="s">
        <v>70</v>
      </c>
      <c r="E1505" s="2" t="s">
        <v>133</v>
      </c>
      <c r="F1505" s="2" t="s">
        <v>134</v>
      </c>
    </row>
    <row r="1506" spans="1:6">
      <c r="A1506" s="3" t="s">
        <v>2301</v>
      </c>
      <c r="B1506" s="3" t="s">
        <v>81</v>
      </c>
      <c r="C1506" s="4" t="s">
        <v>135</v>
      </c>
      <c r="D1506" s="2" t="s">
        <v>136</v>
      </c>
      <c r="E1506" s="2" t="s">
        <v>137</v>
      </c>
      <c r="F1506" s="2" t="s">
        <v>138</v>
      </c>
    </row>
    <row r="1507" spans="1:6">
      <c r="A1507" s="3" t="s">
        <v>2301</v>
      </c>
      <c r="B1507" s="3" t="s">
        <v>81</v>
      </c>
      <c r="C1507" s="4" t="s">
        <v>164</v>
      </c>
      <c r="D1507" s="2" t="s">
        <v>60</v>
      </c>
      <c r="E1507" s="2" t="s">
        <v>165</v>
      </c>
      <c r="F1507" s="2" t="s">
        <v>166</v>
      </c>
    </row>
    <row r="1508" spans="1:6">
      <c r="A1508" s="3" t="s">
        <v>2301</v>
      </c>
      <c r="B1508" s="3" t="s">
        <v>81</v>
      </c>
      <c r="C1508" s="4" t="s">
        <v>167</v>
      </c>
      <c r="D1508" s="2" t="s">
        <v>61</v>
      </c>
      <c r="E1508" s="2" t="s">
        <v>168</v>
      </c>
      <c r="F1508" s="2" t="s">
        <v>169</v>
      </c>
    </row>
    <row r="1509" spans="1:6">
      <c r="A1509" s="3" t="s">
        <v>2301</v>
      </c>
      <c r="B1509" s="3" t="s">
        <v>81</v>
      </c>
      <c r="C1509" s="4" t="s">
        <v>170</v>
      </c>
      <c r="D1509" s="2" t="s">
        <v>68</v>
      </c>
      <c r="E1509" s="2" t="s">
        <v>171</v>
      </c>
      <c r="F1509" s="2" t="s">
        <v>172</v>
      </c>
    </row>
    <row r="1510" spans="1:6">
      <c r="A1510" s="3" t="s">
        <v>2301</v>
      </c>
      <c r="B1510" s="3" t="s">
        <v>81</v>
      </c>
      <c r="C1510" s="4" t="s">
        <v>797</v>
      </c>
      <c r="D1510" s="2" t="s">
        <v>798</v>
      </c>
      <c r="E1510" s="2" t="s">
        <v>799</v>
      </c>
      <c r="F1510" s="2" t="s">
        <v>798</v>
      </c>
    </row>
    <row r="1511" spans="1:6">
      <c r="A1511" s="3" t="s">
        <v>2301</v>
      </c>
      <c r="B1511" s="3" t="s">
        <v>81</v>
      </c>
      <c r="C1511" s="4" t="s">
        <v>1649</v>
      </c>
      <c r="D1511" s="2" t="s">
        <v>1650</v>
      </c>
      <c r="E1511" s="2" t="s">
        <v>1651</v>
      </c>
      <c r="F1511" s="2" t="s">
        <v>1650</v>
      </c>
    </row>
    <row r="1512" spans="1:6">
      <c r="A1512" s="3" t="s">
        <v>2301</v>
      </c>
      <c r="B1512" s="3" t="s">
        <v>81</v>
      </c>
      <c r="C1512" s="4" t="s">
        <v>193</v>
      </c>
      <c r="D1512" s="2" t="s">
        <v>194</v>
      </c>
      <c r="E1512" s="2" t="s">
        <v>195</v>
      </c>
      <c r="F1512" s="2" t="s">
        <v>196</v>
      </c>
    </row>
    <row r="1513" spans="1:6">
      <c r="A1513" s="3" t="s">
        <v>2301</v>
      </c>
      <c r="B1513" s="3" t="s">
        <v>81</v>
      </c>
      <c r="C1513" s="4" t="s">
        <v>1772</v>
      </c>
      <c r="D1513" s="2" t="s">
        <v>1773</v>
      </c>
      <c r="E1513" s="2" t="s">
        <v>1774</v>
      </c>
      <c r="F1513" s="2" t="s">
        <v>1775</v>
      </c>
    </row>
    <row r="1514" spans="1:6">
      <c r="A1514" s="3" t="s">
        <v>2301</v>
      </c>
      <c r="B1514" s="3" t="s">
        <v>81</v>
      </c>
      <c r="C1514" s="4" t="s">
        <v>1776</v>
      </c>
      <c r="D1514" s="2" t="s">
        <v>1777</v>
      </c>
      <c r="E1514" s="2" t="s">
        <v>1778</v>
      </c>
      <c r="F1514" s="2" t="s">
        <v>1779</v>
      </c>
    </row>
    <row r="1515" spans="1:6">
      <c r="A1515" s="3" t="s">
        <v>2301</v>
      </c>
      <c r="B1515" s="3" t="s">
        <v>81</v>
      </c>
      <c r="C1515" s="4" t="s">
        <v>1784</v>
      </c>
      <c r="D1515" s="2" t="s">
        <v>1785</v>
      </c>
      <c r="E1515" s="2" t="s">
        <v>1786</v>
      </c>
      <c r="F1515" s="2" t="s">
        <v>1787</v>
      </c>
    </row>
    <row r="1516" spans="1:6">
      <c r="A1516" s="3" t="s">
        <v>2301</v>
      </c>
      <c r="B1516" s="3" t="s">
        <v>81</v>
      </c>
      <c r="C1516" s="4" t="s">
        <v>1788</v>
      </c>
      <c r="D1516" s="2" t="s">
        <v>1789</v>
      </c>
      <c r="E1516" s="2" t="s">
        <v>1790</v>
      </c>
      <c r="F1516" s="2" t="s">
        <v>1791</v>
      </c>
    </row>
    <row r="1517" spans="1:6">
      <c r="A1517" s="3" t="s">
        <v>2301</v>
      </c>
      <c r="B1517" s="3" t="s">
        <v>81</v>
      </c>
      <c r="C1517" s="4" t="s">
        <v>1792</v>
      </c>
      <c r="D1517" s="2" t="s">
        <v>1793</v>
      </c>
      <c r="E1517" s="2" t="s">
        <v>1794</v>
      </c>
      <c r="F1517" s="2" t="s">
        <v>1795</v>
      </c>
    </row>
    <row r="1518" spans="1:6">
      <c r="A1518" s="3" t="s">
        <v>2301</v>
      </c>
      <c r="B1518" s="3" t="s">
        <v>81</v>
      </c>
      <c r="C1518" s="4" t="s">
        <v>1796</v>
      </c>
      <c r="D1518" s="2" t="s">
        <v>1797</v>
      </c>
      <c r="E1518" s="2" t="s">
        <v>1798</v>
      </c>
      <c r="F1518" s="2" t="s">
        <v>1799</v>
      </c>
    </row>
    <row r="1519" spans="1:6">
      <c r="A1519" s="3" t="s">
        <v>2301</v>
      </c>
      <c r="B1519" s="3" t="s">
        <v>81</v>
      </c>
      <c r="C1519" s="4" t="s">
        <v>2302</v>
      </c>
      <c r="D1519" s="2" t="s">
        <v>2303</v>
      </c>
      <c r="E1519" s="2" t="s">
        <v>2304</v>
      </c>
      <c r="F1519" s="2" t="s">
        <v>2305</v>
      </c>
    </row>
    <row r="1520" spans="1:6">
      <c r="A1520" s="3" t="s">
        <v>2301</v>
      </c>
      <c r="B1520" s="3" t="s">
        <v>81</v>
      </c>
      <c r="C1520" s="4" t="s">
        <v>2306</v>
      </c>
      <c r="D1520" s="2" t="s">
        <v>2307</v>
      </c>
      <c r="E1520" s="2" t="s">
        <v>2308</v>
      </c>
      <c r="F1520" s="2" t="s">
        <v>2309</v>
      </c>
    </row>
    <row r="1521" spans="1:6">
      <c r="A1521" s="3" t="s">
        <v>2301</v>
      </c>
      <c r="B1521" s="3" t="s">
        <v>81</v>
      </c>
      <c r="C1521" s="4" t="s">
        <v>2310</v>
      </c>
      <c r="D1521" s="2" t="s">
        <v>2311</v>
      </c>
      <c r="E1521" s="2" t="s">
        <v>2312</v>
      </c>
      <c r="F1521" s="2" t="s">
        <v>2313</v>
      </c>
    </row>
    <row r="1522" spans="1:6">
      <c r="A1522" s="3" t="s">
        <v>2301</v>
      </c>
      <c r="B1522" s="3" t="s">
        <v>81</v>
      </c>
      <c r="C1522" s="4" t="s">
        <v>2314</v>
      </c>
      <c r="D1522" s="2" t="s">
        <v>2315</v>
      </c>
      <c r="E1522" s="2" t="s">
        <v>2316</v>
      </c>
      <c r="F1522" s="2" t="s">
        <v>2317</v>
      </c>
    </row>
    <row r="1523" spans="1:6">
      <c r="A1523" s="3" t="s">
        <v>2301</v>
      </c>
      <c r="B1523" s="3" t="s">
        <v>81</v>
      </c>
      <c r="C1523" s="4" t="s">
        <v>1256</v>
      </c>
      <c r="D1523" s="2" t="s">
        <v>1257</v>
      </c>
      <c r="E1523" s="2" t="s">
        <v>1258</v>
      </c>
      <c r="F1523" s="2" t="s">
        <v>1259</v>
      </c>
    </row>
    <row r="1524" spans="1:6">
      <c r="A1524" s="3" t="s">
        <v>2318</v>
      </c>
      <c r="B1524" s="3" t="s">
        <v>82</v>
      </c>
      <c r="C1524" s="4" t="s">
        <v>129</v>
      </c>
      <c r="D1524" s="2" t="s">
        <v>73</v>
      </c>
      <c r="E1524" s="2" t="s">
        <v>130</v>
      </c>
      <c r="F1524" s="2" t="s">
        <v>131</v>
      </c>
    </row>
    <row r="1525" spans="1:6">
      <c r="A1525" s="3" t="s">
        <v>2318</v>
      </c>
      <c r="B1525" s="3" t="s">
        <v>82</v>
      </c>
      <c r="C1525" s="4" t="s">
        <v>132</v>
      </c>
      <c r="D1525" s="2" t="s">
        <v>70</v>
      </c>
      <c r="E1525" s="2" t="s">
        <v>133</v>
      </c>
      <c r="F1525" s="2" t="s">
        <v>134</v>
      </c>
    </row>
    <row r="1526" spans="1:6">
      <c r="A1526" s="3" t="s">
        <v>2318</v>
      </c>
      <c r="B1526" s="3" t="s">
        <v>82</v>
      </c>
      <c r="C1526" s="4" t="s">
        <v>135</v>
      </c>
      <c r="D1526" s="2" t="s">
        <v>136</v>
      </c>
      <c r="E1526" s="2" t="s">
        <v>137</v>
      </c>
      <c r="F1526" s="2" t="s">
        <v>138</v>
      </c>
    </row>
    <row r="1527" spans="1:6">
      <c r="A1527" s="3" t="s">
        <v>2318</v>
      </c>
      <c r="B1527" s="3" t="s">
        <v>82</v>
      </c>
      <c r="C1527" s="4" t="s">
        <v>164</v>
      </c>
      <c r="D1527" s="2" t="s">
        <v>60</v>
      </c>
      <c r="E1527" s="2" t="s">
        <v>165</v>
      </c>
      <c r="F1527" s="2" t="s">
        <v>166</v>
      </c>
    </row>
    <row r="1528" spans="1:6">
      <c r="A1528" s="3" t="s">
        <v>2318</v>
      </c>
      <c r="B1528" s="3" t="s">
        <v>82</v>
      </c>
      <c r="C1528" s="4" t="s">
        <v>167</v>
      </c>
      <c r="D1528" s="2" t="s">
        <v>61</v>
      </c>
      <c r="E1528" s="2" t="s">
        <v>168</v>
      </c>
      <c r="F1528" s="2" t="s">
        <v>169</v>
      </c>
    </row>
    <row r="1529" spans="1:6">
      <c r="A1529" s="3" t="s">
        <v>2318</v>
      </c>
      <c r="B1529" s="3" t="s">
        <v>82</v>
      </c>
      <c r="C1529" s="4" t="s">
        <v>797</v>
      </c>
      <c r="D1529" s="2" t="s">
        <v>798</v>
      </c>
      <c r="E1529" s="2" t="s">
        <v>799</v>
      </c>
      <c r="F1529" s="2" t="s">
        <v>798</v>
      </c>
    </row>
    <row r="1530" spans="1:6">
      <c r="A1530" s="3" t="s">
        <v>2318</v>
      </c>
      <c r="B1530" s="3" t="s">
        <v>82</v>
      </c>
      <c r="C1530" s="4" t="s">
        <v>800</v>
      </c>
      <c r="D1530" s="2" t="s">
        <v>71</v>
      </c>
      <c r="E1530" s="2" t="s">
        <v>801</v>
      </c>
      <c r="F1530" s="2" t="s">
        <v>802</v>
      </c>
    </row>
    <row r="1531" spans="1:6">
      <c r="A1531" s="3" t="s">
        <v>2318</v>
      </c>
      <c r="B1531" s="3" t="s">
        <v>82</v>
      </c>
      <c r="C1531" s="4" t="s">
        <v>803</v>
      </c>
      <c r="D1531" s="2" t="s">
        <v>804</v>
      </c>
      <c r="E1531" s="2" t="s">
        <v>805</v>
      </c>
      <c r="F1531" s="2" t="s">
        <v>806</v>
      </c>
    </row>
    <row r="1532" spans="1:6">
      <c r="A1532" s="3" t="s">
        <v>2318</v>
      </c>
      <c r="B1532" s="3" t="s">
        <v>82</v>
      </c>
      <c r="C1532" s="4" t="s">
        <v>1649</v>
      </c>
      <c r="D1532" s="2" t="s">
        <v>1650</v>
      </c>
      <c r="E1532" s="2" t="s">
        <v>1651</v>
      </c>
      <c r="F1532" s="2" t="s">
        <v>1650</v>
      </c>
    </row>
    <row r="1533" spans="1:6">
      <c r="A1533" s="3" t="s">
        <v>2318</v>
      </c>
      <c r="B1533" s="3" t="s">
        <v>82</v>
      </c>
      <c r="C1533" s="4" t="s">
        <v>1652</v>
      </c>
      <c r="D1533" s="2" t="s">
        <v>1653</v>
      </c>
      <c r="E1533" s="2" t="s">
        <v>1654</v>
      </c>
      <c r="F1533" s="2" t="s">
        <v>1655</v>
      </c>
    </row>
    <row r="1534" spans="1:6">
      <c r="A1534" s="3" t="s">
        <v>2318</v>
      </c>
      <c r="B1534" s="3" t="s">
        <v>82</v>
      </c>
      <c r="C1534" s="4" t="s">
        <v>1656</v>
      </c>
      <c r="D1534" s="2" t="s">
        <v>1657</v>
      </c>
      <c r="E1534" s="2" t="s">
        <v>1658</v>
      </c>
      <c r="F1534" s="2" t="s">
        <v>1659</v>
      </c>
    </row>
  </sheetData>
  <pageMargins left="0.7" right="0.7" top="0.75" bottom="0.75" header="0.3" footer="0.3"/>
  <pageSetup orientation="portrait" r:id="rId1"/>
  <headerFooter>
    <oddFooter>&amp;L&amp;1#&amp;"Calibri"&amp;8&amp;K000000Sensitivity: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EAF373E6EC0C47AECC05DDE6E9A99F" ma:contentTypeVersion="2" ma:contentTypeDescription="Create a new document." ma:contentTypeScope="" ma:versionID="a1e7c1ceb862c8fdbc1a5cc3d62cd2c4">
  <xsd:schema xmlns:xsd="http://www.w3.org/2001/XMLSchema" xmlns:xs="http://www.w3.org/2001/XMLSchema" xmlns:p="http://schemas.microsoft.com/office/2006/metadata/properties" xmlns:ns2="759bca23-16e0-495f-b3b9-e1e39bd2c142" targetNamespace="http://schemas.microsoft.com/office/2006/metadata/properties" ma:root="true" ma:fieldsID="09bb805da4883aba3c9e0a9f6849ee05" ns2:_="">
    <xsd:import namespace="759bca23-16e0-495f-b3b9-e1e39bd2c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bca23-16e0-495f-b3b9-e1e39bd2c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0AC4C-D3EC-4BDB-BF04-9040F4B88BAB}">
  <ds:schemaRefs>
    <ds:schemaRef ds:uri="759bca23-16e0-495f-b3b9-e1e39bd2c14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2349A53-544F-4CCC-A7C6-DE32B434D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B7B6A4-D4EF-4933-A26B-18200B1DA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9bca23-16e0-495f-b3b9-e1e39bd2c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Logs</vt:lpstr>
      <vt:lpstr>Instructions</vt:lpstr>
      <vt:lpstr>Single Instrument</vt:lpstr>
      <vt:lpstr>Multiple Instruments</vt:lpstr>
      <vt:lpstr>List of Fields by Asset Class</vt:lpstr>
      <vt:lpstr>Sheet7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Abraham Alejandro</cp:lastModifiedBy>
  <dcterms:created xsi:type="dcterms:W3CDTF">2016-08-01T17:37:50Z</dcterms:created>
  <dcterms:modified xsi:type="dcterms:W3CDTF">2025-06-29T15:35:48Z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0x0101005CEAF373E6EC0C47AECC05DDE6E9A99F</vt:lpwstr>
  </property>
  <property fmtid="{D5CDD505-2E9C-101B-9397-08002B2CF9AE}" pid="3" name="MSIP_Label_160cf5d0-3195-495b-8e47-6fd80127629b_Enabled">
    <vt:lpwstr>True</vt:lpwstr>
  </property>
  <property fmtid="{D5CDD505-2E9C-101B-9397-08002B2CF9AE}" pid="4" name="MSIP_Label_160cf5d0-3195-495b-8e47-6fd80127629b_SiteId">
    <vt:lpwstr>62ccb864-6a1a-4b5d-8e1c-397dec1a8258</vt:lpwstr>
  </property>
  <property fmtid="{D5CDD505-2E9C-101B-9397-08002B2CF9AE}" pid="5" name="MSIP_Label_160cf5d0-3195-495b-8e47-6fd80127629b_Owner">
    <vt:lpwstr>eric.havrilla@thomsonreuters.com</vt:lpwstr>
  </property>
  <property fmtid="{D5CDD505-2E9C-101B-9397-08002B2CF9AE}" pid="6" name="MSIP_Label_160cf5d0-3195-495b-8e47-6fd80127629b_SetDate">
    <vt:lpwstr>2019-09-18T20:47:37.0729134Z</vt:lpwstr>
  </property>
  <property fmtid="{D5CDD505-2E9C-101B-9397-08002B2CF9AE}" pid="7" name="MSIP_Label_160cf5d0-3195-495b-8e47-6fd80127629b_Name">
    <vt:lpwstr>Confidential</vt:lpwstr>
  </property>
  <property fmtid="{D5CDD505-2E9C-101B-9397-08002B2CF9AE}" pid="8" name="MSIP_Label_160cf5d0-3195-495b-8e47-6fd80127629b_Application">
    <vt:lpwstr>Microsoft Azure Information Protection</vt:lpwstr>
  </property>
  <property fmtid="{D5CDD505-2E9C-101B-9397-08002B2CF9AE}" pid="9" name="MSIP_Label_160cf5d0-3195-495b-8e47-6fd80127629b_Extended_MSFT_Method">
    <vt:lpwstr>Automatic</vt:lpwstr>
  </property>
  <property fmtid="{D5CDD505-2E9C-101B-9397-08002B2CF9AE}" pid="10" name="Sensitivity">
    <vt:lpwstr>Confidential</vt:lpwstr>
  </property>
  <property fmtid="{D5CDD505-2E9C-101B-9397-08002B2CF9AE}" pid="11" name="WorkbookGuid">
    <vt:lpwstr>f5deddac-1fa7-47bc-81e8-b03f7d512430</vt:lpwstr>
  </property>
</Properties>
</file>